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D:\sales_systems\"/>
    </mc:Choice>
  </mc:AlternateContent>
  <xr:revisionPtr revIDLastSave="0" documentId="13_ncr:1_{261A0B51-55B3-4A01-8D92-199FCF8B0F9B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Home" sheetId="1" r:id="rId1"/>
    <sheet name="invoice" sheetId="9" r:id="rId2"/>
    <sheet name="sales" sheetId="3" r:id="rId3"/>
    <sheet name="accont_report" sheetId="7" r:id="rId4"/>
    <sheet name="cach_resive" sheetId="2" r:id="rId5"/>
  </sheets>
  <definedNames>
    <definedName name="solver_rcp" hidden="1">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1" i="9" l="1"/>
  <c r="G31" i="9"/>
  <c r="H31" i="9" s="1"/>
  <c r="E30" i="9"/>
  <c r="G30" i="9"/>
  <c r="H30" i="9" s="1"/>
  <c r="E29" i="9"/>
  <c r="G29" i="9"/>
  <c r="H29" i="9" s="1"/>
  <c r="E28" i="9"/>
  <c r="G28" i="9"/>
  <c r="H28" i="9" s="1"/>
  <c r="E27" i="9"/>
  <c r="G27" i="9"/>
  <c r="H27" i="9" s="1"/>
  <c r="E26" i="9"/>
  <c r="G26" i="9"/>
  <c r="H26" i="9" s="1"/>
  <c r="E25" i="9"/>
  <c r="G25" i="9"/>
  <c r="H25" i="9" s="1"/>
  <c r="E24" i="9"/>
  <c r="G24" i="9"/>
  <c r="H24" i="9" s="1"/>
  <c r="E23" i="9"/>
  <c r="G23" i="9"/>
  <c r="H23" i="9" s="1"/>
  <c r="G3" i="9"/>
  <c r="H3" i="9" s="1"/>
  <c r="G4" i="9"/>
  <c r="G5" i="9"/>
  <c r="H5" i="9" s="1"/>
  <c r="G6" i="9"/>
  <c r="G7" i="9"/>
  <c r="G8" i="9"/>
  <c r="H8" i="9" s="1"/>
  <c r="G9" i="9"/>
  <c r="H9" i="9" s="1"/>
  <c r="G10" i="9"/>
  <c r="G11" i="9"/>
  <c r="H11" i="9" s="1"/>
  <c r="G12" i="9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G21" i="9"/>
  <c r="H21" i="9" s="1"/>
  <c r="G22" i="9"/>
  <c r="H22" i="9" s="1"/>
  <c r="G493" i="9"/>
  <c r="H493" i="9" s="1"/>
  <c r="G494" i="9"/>
  <c r="H494" i="9" s="1"/>
  <c r="G495" i="9"/>
  <c r="H495" i="9" s="1"/>
  <c r="G496" i="9"/>
  <c r="G497" i="9"/>
  <c r="G498" i="9"/>
  <c r="G499" i="9"/>
  <c r="G500" i="9"/>
  <c r="H500" i="9" s="1"/>
  <c r="G501" i="9"/>
  <c r="H501" i="9" s="1"/>
  <c r="G502" i="9"/>
  <c r="H502" i="9" s="1"/>
  <c r="G2" i="9"/>
  <c r="H12" i="9"/>
  <c r="F25" i="3"/>
  <c r="N5" i="1"/>
  <c r="N4" i="1"/>
  <c r="N3" i="1"/>
  <c r="N2" i="1"/>
  <c r="L5" i="1"/>
  <c r="M5" i="1" s="1"/>
  <c r="L4" i="1"/>
  <c r="M4" i="1" s="1"/>
  <c r="L3" i="1"/>
  <c r="M3" i="1" s="1"/>
  <c r="L2" i="1"/>
  <c r="M2" i="1" s="1"/>
  <c r="J5" i="1"/>
  <c r="J4" i="1"/>
  <c r="J3" i="1"/>
  <c r="J2" i="1"/>
  <c r="I4" i="1"/>
  <c r="I3" i="1"/>
  <c r="I2" i="1"/>
  <c r="F4" i="1"/>
  <c r="F3" i="1"/>
  <c r="F2" i="1"/>
  <c r="I5" i="1"/>
  <c r="F6" i="1"/>
  <c r="F5" i="1"/>
  <c r="N6" i="1"/>
  <c r="L6" i="1"/>
  <c r="M6" i="1" s="1"/>
  <c r="J6" i="1"/>
  <c r="I6" i="1"/>
  <c r="H4" i="9"/>
  <c r="H6" i="9"/>
  <c r="H7" i="9"/>
  <c r="H10" i="9"/>
  <c r="H20" i="9"/>
  <c r="H496" i="9"/>
  <c r="H497" i="9"/>
  <c r="H498" i="9"/>
  <c r="H499" i="9"/>
  <c r="E2" i="9"/>
  <c r="E493" i="9"/>
  <c r="E494" i="9"/>
  <c r="E495" i="9"/>
  <c r="E496" i="9"/>
  <c r="E497" i="9"/>
  <c r="E498" i="9"/>
  <c r="E499" i="9"/>
  <c r="E500" i="9"/>
  <c r="E501" i="9"/>
  <c r="E50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I19" i="1"/>
  <c r="J19" i="1"/>
  <c r="L19" i="1"/>
  <c r="M19" i="1" s="1"/>
  <c r="N19" i="1"/>
  <c r="I36" i="1"/>
  <c r="I39" i="1"/>
  <c r="I18" i="1"/>
  <c r="I25" i="1"/>
  <c r="I38" i="1"/>
  <c r="I9" i="1"/>
  <c r="I37" i="1"/>
  <c r="I35" i="1"/>
  <c r="I15" i="1"/>
  <c r="I47" i="1"/>
  <c r="I11" i="1"/>
  <c r="I40" i="1"/>
  <c r="I21" i="1"/>
  <c r="I7" i="1"/>
  <c r="I13" i="1"/>
  <c r="I45" i="1"/>
  <c r="I55" i="1"/>
  <c r="I26" i="1"/>
  <c r="I8" i="1"/>
  <c r="I16" i="1"/>
  <c r="I57" i="1"/>
  <c r="I17" i="1"/>
  <c r="I31" i="1"/>
  <c r="I43" i="1"/>
  <c r="I50" i="1"/>
  <c r="I49" i="1"/>
  <c r="I20" i="1"/>
  <c r="I22" i="1"/>
  <c r="I54" i="1"/>
  <c r="I30" i="1"/>
  <c r="I41" i="1"/>
  <c r="I14" i="1"/>
  <c r="I12" i="1"/>
  <c r="I46" i="1"/>
  <c r="I23" i="1"/>
  <c r="I48" i="1"/>
  <c r="I51" i="1"/>
  <c r="I53" i="1"/>
  <c r="I44" i="1"/>
  <c r="I27" i="1"/>
  <c r="I59" i="1"/>
  <c r="I32" i="1"/>
  <c r="I52" i="1"/>
  <c r="I24" i="1"/>
  <c r="I58" i="1"/>
  <c r="I34" i="1"/>
  <c r="I10" i="1"/>
  <c r="I29" i="1"/>
  <c r="I28" i="1"/>
  <c r="I56" i="1"/>
  <c r="I33" i="1"/>
  <c r="J36" i="1"/>
  <c r="J39" i="1"/>
  <c r="J18" i="1"/>
  <c r="J25" i="1"/>
  <c r="J38" i="1"/>
  <c r="J9" i="1"/>
  <c r="J37" i="1"/>
  <c r="J35" i="1"/>
  <c r="J15" i="1"/>
  <c r="J47" i="1"/>
  <c r="J11" i="1"/>
  <c r="J40" i="1"/>
  <c r="J21" i="1"/>
  <c r="J7" i="1"/>
  <c r="J13" i="1"/>
  <c r="J45" i="1"/>
  <c r="J55" i="1"/>
  <c r="J26" i="1"/>
  <c r="J8" i="1"/>
  <c r="J16" i="1"/>
  <c r="J57" i="1"/>
  <c r="J17" i="1"/>
  <c r="J31" i="1"/>
  <c r="J43" i="1"/>
  <c r="J50" i="1"/>
  <c r="J49" i="1"/>
  <c r="J20" i="1"/>
  <c r="J22" i="1"/>
  <c r="J54" i="1"/>
  <c r="J30" i="1"/>
  <c r="J41" i="1"/>
  <c r="J14" i="1"/>
  <c r="J12" i="1"/>
  <c r="J46" i="1"/>
  <c r="J23" i="1"/>
  <c r="J48" i="1"/>
  <c r="J51" i="1"/>
  <c r="J53" i="1"/>
  <c r="J44" i="1"/>
  <c r="J27" i="1"/>
  <c r="J59" i="1"/>
  <c r="J32" i="1"/>
  <c r="J52" i="1"/>
  <c r="J24" i="1"/>
  <c r="J58" i="1"/>
  <c r="J34" i="1"/>
  <c r="J10" i="1"/>
  <c r="J29" i="1"/>
  <c r="J28" i="1"/>
  <c r="J56" i="1"/>
  <c r="J33" i="1"/>
  <c r="L36" i="1"/>
  <c r="M36" i="1" s="1"/>
  <c r="L39" i="1"/>
  <c r="M39" i="1" s="1"/>
  <c r="L18" i="1"/>
  <c r="M18" i="1" s="1"/>
  <c r="L25" i="1"/>
  <c r="L38" i="1"/>
  <c r="M38" i="1" s="1"/>
  <c r="L9" i="1"/>
  <c r="M9" i="1" s="1"/>
  <c r="L37" i="1"/>
  <c r="M37" i="1" s="1"/>
  <c r="L35" i="1"/>
  <c r="M35" i="1" s="1"/>
  <c r="L15" i="1"/>
  <c r="M15" i="1" s="1"/>
  <c r="L47" i="1"/>
  <c r="M47" i="1" s="1"/>
  <c r="L11" i="1"/>
  <c r="M11" i="1" s="1"/>
  <c r="L40" i="1"/>
  <c r="M40" i="1" s="1"/>
  <c r="L21" i="1"/>
  <c r="M21" i="1" s="1"/>
  <c r="L7" i="1"/>
  <c r="M7" i="1" s="1"/>
  <c r="L13" i="1"/>
  <c r="M13" i="1" s="1"/>
  <c r="L45" i="1"/>
  <c r="M45" i="1" s="1"/>
  <c r="L55" i="1"/>
  <c r="M55" i="1" s="1"/>
  <c r="L26" i="1"/>
  <c r="M26" i="1" s="1"/>
  <c r="L8" i="1"/>
  <c r="M8" i="1" s="1"/>
  <c r="L16" i="1"/>
  <c r="M16" i="1" s="1"/>
  <c r="L57" i="1"/>
  <c r="M57" i="1" s="1"/>
  <c r="L17" i="1"/>
  <c r="M17" i="1" s="1"/>
  <c r="L31" i="1"/>
  <c r="M31" i="1" s="1"/>
  <c r="L43" i="1"/>
  <c r="M43" i="1" s="1"/>
  <c r="L50" i="1"/>
  <c r="M50" i="1" s="1"/>
  <c r="L49" i="1"/>
  <c r="M49" i="1" s="1"/>
  <c r="L20" i="1"/>
  <c r="M20" i="1" s="1"/>
  <c r="L22" i="1"/>
  <c r="M22" i="1" s="1"/>
  <c r="L54" i="1"/>
  <c r="M54" i="1" s="1"/>
  <c r="L30" i="1"/>
  <c r="M30" i="1" s="1"/>
  <c r="L41" i="1"/>
  <c r="M41" i="1" s="1"/>
  <c r="L14" i="1"/>
  <c r="M14" i="1" s="1"/>
  <c r="L12" i="1"/>
  <c r="M12" i="1" s="1"/>
  <c r="L46" i="1"/>
  <c r="M46" i="1" s="1"/>
  <c r="L23" i="1"/>
  <c r="M23" i="1" s="1"/>
  <c r="L48" i="1"/>
  <c r="M48" i="1" s="1"/>
  <c r="L51" i="1"/>
  <c r="M51" i="1" s="1"/>
  <c r="L53" i="1"/>
  <c r="M53" i="1" s="1"/>
  <c r="L44" i="1"/>
  <c r="M44" i="1" s="1"/>
  <c r="L27" i="1"/>
  <c r="M27" i="1" s="1"/>
  <c r="L59" i="1"/>
  <c r="M59" i="1" s="1"/>
  <c r="L32" i="1"/>
  <c r="M32" i="1" s="1"/>
  <c r="L52" i="1"/>
  <c r="M52" i="1" s="1"/>
  <c r="L24" i="1"/>
  <c r="M24" i="1" s="1"/>
  <c r="L58" i="1"/>
  <c r="M58" i="1" s="1"/>
  <c r="L34" i="1"/>
  <c r="M34" i="1" s="1"/>
  <c r="L10" i="1"/>
  <c r="M10" i="1" s="1"/>
  <c r="L29" i="1"/>
  <c r="M29" i="1" s="1"/>
  <c r="L28" i="1"/>
  <c r="M28" i="1" s="1"/>
  <c r="L56" i="1"/>
  <c r="M56" i="1" s="1"/>
  <c r="L33" i="1"/>
  <c r="M33" i="1" s="1"/>
  <c r="M25" i="1"/>
  <c r="N36" i="1"/>
  <c r="N39" i="1"/>
  <c r="N18" i="1"/>
  <c r="N25" i="1"/>
  <c r="N38" i="1"/>
  <c r="N9" i="1"/>
  <c r="N37" i="1"/>
  <c r="N35" i="1"/>
  <c r="N15" i="1"/>
  <c r="N47" i="1"/>
  <c r="N11" i="1"/>
  <c r="N40" i="1"/>
  <c r="N21" i="1"/>
  <c r="N7" i="1"/>
  <c r="N13" i="1"/>
  <c r="N45" i="1"/>
  <c r="N55" i="1"/>
  <c r="N26" i="1"/>
  <c r="N8" i="1"/>
  <c r="N16" i="1"/>
  <c r="N57" i="1"/>
  <c r="N17" i="1"/>
  <c r="N31" i="1"/>
  <c r="N43" i="1"/>
  <c r="N50" i="1"/>
  <c r="N49" i="1"/>
  <c r="N20" i="1"/>
  <c r="N22" i="1"/>
  <c r="N54" i="1"/>
  <c r="N30" i="1"/>
  <c r="N41" i="1"/>
  <c r="N14" i="1"/>
  <c r="N12" i="1"/>
  <c r="N46" i="1"/>
  <c r="N23" i="1"/>
  <c r="N48" i="1"/>
  <c r="N51" i="1"/>
  <c r="N53" i="1"/>
  <c r="N44" i="1"/>
  <c r="N27" i="1"/>
  <c r="N59" i="1"/>
  <c r="N32" i="1"/>
  <c r="N52" i="1"/>
  <c r="N24" i="1"/>
  <c r="N58" i="1"/>
  <c r="N34" i="1"/>
  <c r="N10" i="1"/>
  <c r="N29" i="1"/>
  <c r="N28" i="1"/>
  <c r="N56" i="1"/>
  <c r="N33" i="1"/>
  <c r="N42" i="1"/>
  <c r="F24" i="3"/>
  <c r="F18" i="3"/>
  <c r="F14" i="3"/>
  <c r="F23" i="3"/>
  <c r="F22" i="3"/>
  <c r="F21" i="3"/>
  <c r="F20" i="3"/>
  <c r="F19" i="3"/>
  <c r="F17" i="3"/>
  <c r="F28" i="1"/>
  <c r="F48" i="1"/>
  <c r="F35" i="1"/>
  <c r="F7" i="1"/>
  <c r="L42" i="1"/>
  <c r="M42" i="1" s="1"/>
  <c r="J42" i="1"/>
  <c r="I42" i="1"/>
  <c r="C12" i="2"/>
  <c r="F5" i="3"/>
  <c r="F16" i="3"/>
  <c r="F15" i="3"/>
  <c r="E26" i="3"/>
  <c r="F13" i="3"/>
  <c r="F2" i="3"/>
  <c r="F3" i="3"/>
  <c r="F4" i="3"/>
  <c r="F6" i="3"/>
  <c r="F7" i="3"/>
  <c r="F8" i="3"/>
  <c r="F9" i="3"/>
  <c r="F10" i="3"/>
  <c r="F11" i="3"/>
  <c r="F12" i="3"/>
  <c r="K6" i="1" l="1"/>
  <c r="I31" i="9"/>
  <c r="I19" i="9"/>
  <c r="H2" i="9"/>
  <c r="I14" i="9" s="1"/>
  <c r="K2" i="1"/>
  <c r="K4" i="1"/>
  <c r="K5" i="1"/>
  <c r="K3" i="1"/>
  <c r="K19" i="1"/>
  <c r="K24" i="1"/>
  <c r="K48" i="1"/>
  <c r="K22" i="1"/>
  <c r="K16" i="1"/>
  <c r="K40" i="1"/>
  <c r="K25" i="1"/>
  <c r="K28" i="1"/>
  <c r="K59" i="1"/>
  <c r="K12" i="1"/>
  <c r="K50" i="1"/>
  <c r="K55" i="1"/>
  <c r="K15" i="1"/>
  <c r="K36" i="1"/>
  <c r="K29" i="1"/>
  <c r="K27" i="1"/>
  <c r="K14" i="1"/>
  <c r="K43" i="1"/>
  <c r="K45" i="1"/>
  <c r="K35" i="1"/>
  <c r="K56" i="1"/>
  <c r="K32" i="1"/>
  <c r="K46" i="1"/>
  <c r="K49" i="1"/>
  <c r="K26" i="1"/>
  <c r="K47" i="1"/>
  <c r="K39" i="1"/>
  <c r="K58" i="1"/>
  <c r="K54" i="1"/>
  <c r="K21" i="1"/>
  <c r="K51" i="1"/>
  <c r="K57" i="1"/>
  <c r="K38" i="1"/>
  <c r="K10" i="1"/>
  <c r="K44" i="1"/>
  <c r="K41" i="1"/>
  <c r="K31" i="1"/>
  <c r="K13" i="1"/>
  <c r="K37" i="1"/>
  <c r="K33" i="1"/>
  <c r="K52" i="1"/>
  <c r="K23" i="1"/>
  <c r="K20" i="1"/>
  <c r="K8" i="1"/>
  <c r="K11" i="1"/>
  <c r="K18" i="1"/>
  <c r="K34" i="1"/>
  <c r="K53" i="1"/>
  <c r="K30" i="1"/>
  <c r="K17" i="1"/>
  <c r="K7" i="1"/>
  <c r="K9" i="1"/>
  <c r="K42" i="1"/>
  <c r="F27" i="3" a="1"/>
  <c r="F27" i="3" s="1"/>
  <c r="F2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<sst xmlns="http://schemas.openxmlformats.org/spreadsheetml/2006/main" count="173" uniqueCount="88">
  <si>
    <t>صنادل منزليه MR-131</t>
  </si>
  <si>
    <t>لوح العاب مغناطيس CT8001 30*1 رقم ٢٤٨</t>
  </si>
  <si>
    <t>سفره طاوله ١٥٢*١٣٧ - طرد ٣١١٢</t>
  </si>
  <si>
    <t>-سفره طاوله ١٣٧*٢٧٤ سم ٣٤٩٩</t>
  </si>
  <si>
    <t>ساعات يد اطفال لمس منوع طرد MR-380</t>
  </si>
  <si>
    <t>لعبة الغاز OMG طرد ٢٥٠</t>
  </si>
  <si>
    <t>لعبه مجسم هلامي الصبار ٢٥٧</t>
  </si>
  <si>
    <t>قلام رسم تحديد - ٣٧٦</t>
  </si>
  <si>
    <t>تعليق لاصق جداري متعدد الاستخدام - MR-261</t>
  </si>
  <si>
    <t>تعليق لاصق جداري مثبت استشوار - MR-262</t>
  </si>
  <si>
    <t>شرابات صحية قطن طبيعي لمرضى السكر - ٩٢٤</t>
  </si>
  <si>
    <t>MR-E24 + MR-A299 - M416 رشاش خرز</t>
  </si>
  <si>
    <t>كوب زجاج كبير عطاء كشبي MR-215</t>
  </si>
  <si>
    <t>كوب زجاج كبير غطاء خشبي MR-214</t>
  </si>
  <si>
    <t>ضافر صناعي اطقال YM-T002 414</t>
  </si>
  <si>
    <t>لعبه مسدس ماء كبير وصغير MR-198 ١*٢</t>
  </si>
  <si>
    <t>مناديل مبلله للوجه منوع روائح ماركه HP 25قطعه</t>
  </si>
  <si>
    <t>حافظه استيل حساس رقمي ٥٠٠ مل MR-</t>
  </si>
  <si>
    <t>شموع ضوئيه بلاستيكيه صغيره MR-A20</t>
  </si>
  <si>
    <t>/ سفره طاوله شكل رخامي ١٨٠*١٣٧ - طرد ٣١١٣</t>
  </si>
  <si>
    <t>لعبه يورو بحر ٤٠٠</t>
  </si>
  <si>
    <t>لعبه مائيه 13 لابوبو - طرد ٣٩١</t>
  </si>
  <si>
    <t>BUrbuias 891 لعبة فقاعات صابولي</t>
  </si>
  <si>
    <t>لعاب صابون فقاعات حروف انجليزيه MR-A93</t>
  </si>
  <si>
    <t>عبة سيارات سباق مرتفع MR-96</t>
  </si>
  <si>
    <t>مج استيل AKD-51916</t>
  </si>
  <si>
    <t>كوب خلاط كايتشينو ٣٢١٥</t>
  </si>
  <si>
    <t>ملخاخ اسنان ابو ٣ طقم طرد ٤٠٣٩</t>
  </si>
  <si>
    <t>MR-E27 + MR-A295 - AK47 رشاش خرز</t>
  </si>
  <si>
    <t>اضافر صناعي شبابي MR-413</t>
  </si>
  <si>
    <t xml:space="preserve">مناديل مبلل سيتستيف ٩٠ منديل </t>
  </si>
  <si>
    <t xml:space="preserve">صنادل منزليه نسائي فرو ازرق +لبني </t>
  </si>
  <si>
    <t>شموع ضونيه بلاستيكيه MR-A22</t>
  </si>
  <si>
    <t xml:space="preserve">سفره طاوله ١٣٧٠٩٠ </t>
  </si>
  <si>
    <t>سفره طاولة 137*137</t>
  </si>
  <si>
    <t>قطاعه موز شرائح ٦ ملقات - MR-266 +١٢١</t>
  </si>
  <si>
    <t>جلاس تلفونات جداري ١١٢</t>
  </si>
  <si>
    <t>منشفه مضغوطه للاستخدام مره واحده ١*٢٠ حبه -</t>
  </si>
  <si>
    <t>مكتبة الصعيدي</t>
  </si>
  <si>
    <t>سوبر فتحة قبل الكريمي</t>
  </si>
  <si>
    <t>عزام الشميري</t>
  </si>
  <si>
    <t>اكسسوارات الدايري</t>
  </si>
  <si>
    <t>حسن الدرة</t>
  </si>
  <si>
    <t>مكتبة يوسف العفيق</t>
  </si>
  <si>
    <t>محمد فايز</t>
  </si>
  <si>
    <t>بقالة تحت عمارة الروضة</t>
  </si>
  <si>
    <t>عمار  جامعة تونتك</t>
  </si>
  <si>
    <t>تموينات الحبابي عطان</t>
  </si>
  <si>
    <t xml:space="preserve">محمد فايز </t>
  </si>
  <si>
    <t>عادل الدبعي</t>
  </si>
  <si>
    <t xml:space="preserve">رشاش اربيجي كهربائي </t>
  </si>
  <si>
    <t>سوبر جمب محمد فايز</t>
  </si>
  <si>
    <t>صيدلية الدكتور رؤف محمد فايز</t>
  </si>
  <si>
    <t>عبدالسلام الاشول</t>
  </si>
  <si>
    <t>Row Labels</t>
  </si>
  <si>
    <t>Grand Total</t>
  </si>
  <si>
    <t>Sum of اجمالي السعر</t>
  </si>
  <si>
    <t xml:space="preserve">Sum of المدفوع </t>
  </si>
  <si>
    <t>Sum of المتبقي</t>
  </si>
  <si>
    <t>Index</t>
  </si>
  <si>
    <t>الصعيدي</t>
  </si>
  <si>
    <t>قطاعة يدوي سحاب خيط سحاب</t>
  </si>
  <si>
    <t>كوب استيل جديد مع مصاصة</t>
  </si>
  <si>
    <t>قفاز مع الضوء 3823</t>
  </si>
  <si>
    <t>صنادل فرو أطفال اشكال</t>
  </si>
  <si>
    <t>صنادل فرو أطفال شكل فواكة</t>
  </si>
  <si>
    <t>حسان الاشول</t>
  </si>
  <si>
    <t>invoice_id</t>
  </si>
  <si>
    <t>product</t>
  </si>
  <si>
    <t>total</t>
  </si>
  <si>
    <t>unit_cost</t>
  </si>
  <si>
    <t>unit_price</t>
  </si>
  <si>
    <t>q</t>
  </si>
  <si>
    <t>q_sold</t>
  </si>
  <si>
    <t>total_sold</t>
  </si>
  <si>
    <t>total_cost_sold</t>
  </si>
  <si>
    <t>net</t>
  </si>
  <si>
    <t>q_stil</t>
  </si>
  <si>
    <t>cost_stil</t>
  </si>
  <si>
    <t>net_per_one</t>
  </si>
  <si>
    <t>invoce_id</t>
  </si>
  <si>
    <t>id</t>
  </si>
  <si>
    <t>customer</t>
  </si>
  <si>
    <t>product_id</t>
  </si>
  <si>
    <t>date</t>
  </si>
  <si>
    <t>pay</t>
  </si>
  <si>
    <t>on_account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</si>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</sst>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2000401]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applyNumberFormat="1" applyAlignment="1">
      <alignment horizontal="right" vertical="top"/>
    </xf>
    <xf numFmtId="14" fontId="0" fillId="0" borderId="0" xfId="0" applyNumberFormat="1"/>
    <xf numFmtId="14" fontId="0" fillId="0" borderId="0" xfId="0" applyNumberFormat="1" applyAlignment="1">
      <alignment horizontal="right" vertical="top"/>
    </xf>
    <xf numFmtId="1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right" vertical="top"/>
    </xf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1" applyNumberFormat="1" applyFont="1" applyAlignment="1">
      <alignment horizontal="right"/>
    </xf>
    <xf numFmtId="0" fontId="0" fillId="0" borderId="1" xfId="0" applyFont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30"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numFmt numFmtId="19" formatCode="m/d/yyyy"/>
      <alignment horizontal="right" vertical="top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9" formatCode="m/d/yyyy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numFmt numFmtId="19" formatCode="m/d/yyyy"/>
      <alignment horizontal="right" vertical="top" textRotation="0" wrapText="0" indent="0" justifyLastLine="0" shrinkToFit="0" readingOrder="0"/>
    </dxf>
    <dxf>
      <numFmt numFmtId="0" formatCode="General"/>
    </dxf>
    <dxf>
      <numFmt numFmtId="1" formatCode="0"/>
    </dxf>
    <dxf>
      <numFmt numFmtId="19" formatCode="m/d/yyyy"/>
    </dxf>
    <dxf>
      <alignment horizontal="right" vertical="top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numFmt numFmtId="0" formatCode="General"/>
      <alignment horizontal="right" vertical="top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textRotation="0" wrapText="0" indent="0" justifyLastLine="0" shrinkToFit="0" readingOrder="0"/>
    </dxf>
    <dxf>
      <alignment horizontal="right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F3FD36CE-B4BF-4221-958C-B8CA4DF670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" refreshedDate="45973.895325347221" createdVersion="8" refreshedVersion="8" minRefreshableVersion="3" recordCount="24" xr:uid="{55BEB4D3-CBCC-4A66-8F03-78AC2592450C}">
  <cacheSource type="worksheet">
    <worksheetSource name="Table1"/>
  </cacheSource>
  <cacheFields count="7">
    <cacheField name="التاريخ " numFmtId="14">
      <sharedItems containsSemiMixedTypes="0" containsNonDate="0" containsDate="1" containsString="0" minDate="2025-03-12T00:00:00" maxDate="2025-12-12T00:00:00" count="14">
        <d v="2025-08-11T00:00:00"/>
        <d v="2025-03-12T00:00:00"/>
        <d v="2025-03-13T00:00:00"/>
        <d v="2025-03-14T00:00:00"/>
        <d v="2025-04-14T00:00:00"/>
        <d v="2025-04-15T00:00:00"/>
        <d v="2025-04-16T00:00:00"/>
        <d v="2025-05-17T00:00:00"/>
        <d v="2025-05-18T00:00:00"/>
        <d v="2025-06-19T00:00:00"/>
        <d v="2025-06-20T00:00:00"/>
        <d v="2025-10-11T00:00:00"/>
        <d v="2025-11-11T00:00:00"/>
        <d v="2025-12-11T00:00:00"/>
      </sharedItems>
      <fieldGroup par="6" base="0">
        <rangePr groupBy="days" startDate="2025-03-12T00:00:00" endDate="2025-12-12T00:00:00"/>
        <groupItems count="368">
          <s v="&lt;3/1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2/2025"/>
        </groupItems>
      </fieldGroup>
    </cacheField>
    <cacheField name="رقم الفاتورة" numFmtId="1">
      <sharedItems containsSemiMixedTypes="0" containsString="0" containsNumber="1" containsInteger="1" minValue="1" maxValue="24"/>
    </cacheField>
    <cacheField name="الجهة" numFmtId="0">
      <sharedItems count="15">
        <s v="مكتبة الصعيدي"/>
        <s v="سوبر فتحة قبل الكريمي"/>
        <s v="عزام الشميري"/>
        <s v="اكسسوارات الدايري"/>
        <s v="حسن الدرة"/>
        <s v="مكتبة يوسف العفيق"/>
        <s v="عمار  جامعة تونتك"/>
        <s v="محمد فايز"/>
        <s v="بقالة تحت عمارة الروضة"/>
        <s v="تموينات الحبابي عطان"/>
        <s v="عادل الدبعي"/>
        <s v="عبدالسلام الاشول"/>
        <s v="سوبر جمب محمد فايز"/>
        <s v="صيدلية الدكتور رؤف محمد فايز"/>
        <s v="حسان الاشول"/>
      </sharedItems>
    </cacheField>
    <cacheField name="اجمالي السعر" numFmtId="0">
      <sharedItems containsSemiMixedTypes="0" containsString="0" containsNumber="1" containsInteger="1" minValue="400" maxValue="62830"/>
    </cacheField>
    <cacheField name="المدفوع " numFmtId="0">
      <sharedItems containsSemiMixedTypes="0" containsString="0" containsNumber="1" containsInteger="1" minValue="0" maxValue="25000"/>
    </cacheField>
    <cacheField name="المتبقي" numFmtId="0">
      <sharedItems containsSemiMixedTypes="0" containsString="0" containsNumber="1" containsInteger="1" minValue="-1250" maxValue="62830"/>
    </cacheField>
    <cacheField name="Months" numFmtId="0" databaseField="0">
      <fieldGroup base="0">
        <rangePr groupBy="months" startDate="2025-03-12T00:00:00" endDate="2025-12-12T00:00:00"/>
        <groupItems count="14">
          <s v="&lt;3/1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1"/>
    <x v="0"/>
    <n v="29750"/>
    <n v="25000"/>
    <n v="4750"/>
  </r>
  <r>
    <x v="1"/>
    <n v="2"/>
    <x v="1"/>
    <n v="2900"/>
    <n v="2900"/>
    <n v="0"/>
  </r>
  <r>
    <x v="2"/>
    <n v="3"/>
    <x v="2"/>
    <n v="3660"/>
    <n v="2000"/>
    <n v="1660"/>
  </r>
  <r>
    <x v="3"/>
    <n v="4"/>
    <x v="2"/>
    <n v="1000"/>
    <n v="0"/>
    <n v="1000"/>
  </r>
  <r>
    <x v="4"/>
    <n v="5"/>
    <x v="2"/>
    <n v="1000"/>
    <n v="1000"/>
    <n v="0"/>
  </r>
  <r>
    <x v="5"/>
    <n v="6"/>
    <x v="3"/>
    <n v="400"/>
    <n v="400"/>
    <n v="0"/>
  </r>
  <r>
    <x v="6"/>
    <n v="7"/>
    <x v="4"/>
    <n v="13240"/>
    <n v="13240"/>
    <n v="0"/>
  </r>
  <r>
    <x v="7"/>
    <n v="8"/>
    <x v="5"/>
    <n v="2400"/>
    <n v="2000"/>
    <n v="400"/>
  </r>
  <r>
    <x v="8"/>
    <n v="9"/>
    <x v="6"/>
    <n v="28450"/>
    <n v="0"/>
    <n v="28450"/>
  </r>
  <r>
    <x v="9"/>
    <n v="10"/>
    <x v="7"/>
    <n v="3250"/>
    <n v="3250"/>
    <n v="0"/>
  </r>
  <r>
    <x v="10"/>
    <n v="11"/>
    <x v="8"/>
    <n v="4400"/>
    <n v="0"/>
    <n v="4400"/>
  </r>
  <r>
    <x v="0"/>
    <n v="12"/>
    <x v="9"/>
    <n v="6425"/>
    <n v="0"/>
    <n v="6425"/>
  </r>
  <r>
    <x v="0"/>
    <n v="13"/>
    <x v="7"/>
    <n v="2300"/>
    <n v="3550"/>
    <n v="-1250"/>
  </r>
  <r>
    <x v="0"/>
    <n v="14"/>
    <x v="10"/>
    <n v="2550"/>
    <n v="0"/>
    <n v="2550"/>
  </r>
  <r>
    <x v="0"/>
    <n v="15"/>
    <x v="11"/>
    <n v="1100"/>
    <n v="0"/>
    <n v="1100"/>
  </r>
  <r>
    <x v="11"/>
    <n v="16"/>
    <x v="12"/>
    <n v="62830"/>
    <n v="0"/>
    <n v="62830"/>
  </r>
  <r>
    <x v="12"/>
    <n v="17"/>
    <x v="7"/>
    <n v="2800"/>
    <n v="0"/>
    <n v="2800"/>
  </r>
  <r>
    <x v="11"/>
    <n v="18"/>
    <x v="13"/>
    <n v="10800"/>
    <n v="0"/>
    <n v="10800"/>
  </r>
  <r>
    <x v="11"/>
    <n v="19"/>
    <x v="10"/>
    <n v="2720"/>
    <n v="0"/>
    <n v="2720"/>
  </r>
  <r>
    <x v="12"/>
    <n v="20"/>
    <x v="14"/>
    <n v="36470"/>
    <n v="0"/>
    <n v="36470"/>
  </r>
  <r>
    <x v="12"/>
    <n v="21"/>
    <x v="2"/>
    <n v="2000"/>
    <n v="0"/>
    <n v="2000"/>
  </r>
  <r>
    <x v="12"/>
    <n v="22"/>
    <x v="11"/>
    <n v="1150"/>
    <n v="0"/>
    <n v="1150"/>
  </r>
  <r>
    <x v="12"/>
    <n v="23"/>
    <x v="11"/>
    <n v="2500"/>
    <n v="0"/>
    <n v="2500"/>
  </r>
  <r>
    <x v="13"/>
    <n v="24"/>
    <x v="14"/>
    <n v="8600"/>
    <n v="0"/>
    <n v="8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B399D-4A4A-44CC-B54C-079051C4D53B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7" firstHeaderRow="0" firstDataRow="1" firstDataCol="1"/>
  <pivotFields count="7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" showAll="0"/>
    <pivotField axis="axisRow" showAll="0">
      <items count="16">
        <item x="3"/>
        <item x="8"/>
        <item x="9"/>
        <item x="4"/>
        <item x="12"/>
        <item x="1"/>
        <item x="13"/>
        <item x="10"/>
        <item x="11"/>
        <item x="2"/>
        <item x="6"/>
        <item x="7"/>
        <item x="0"/>
        <item x="5"/>
        <item x="14"/>
        <item t="default"/>
      </items>
    </pivotField>
    <pivotField dataField="1"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اجمالي السعر" fld="3" baseField="0" baseItem="0"/>
    <dataField name="Sum of المدفوع " fld="4" baseField="0" baseItem="0"/>
    <dataField name="Sum of المتبقي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B1F98-FFF1-44F0-9B67-E3FAC755058D}" name="Table3" displayName="Table3" ref="A1:N59" totalsRowShown="0" headerRowDxfId="29" dataDxfId="28">
  <autoFilter ref="A1:N59" xr:uid="{88FB1F98-FFF1-44F0-9B67-E3FAC755058D}"/>
  <sortState xmlns:xlrd2="http://schemas.microsoft.com/office/spreadsheetml/2017/richdata2" ref="A2:N59">
    <sortCondition descending="1" ref="B1:B59"/>
  </sortState>
  <tableColumns count="14">
    <tableColumn id="1" xr3:uid="{7F8779D5-A4D2-48A9-A001-1C2170D6329F}" name="invoice_id" dataDxfId="27"/>
    <tableColumn id="14" xr3:uid="{523B71AE-450D-4533-9A98-6E87827416DA}" name="Index" dataDxfId="26"/>
    <tableColumn id="2" xr3:uid="{B3887CF0-9157-4A18-9C71-E2129A49BE79}" name="product" dataDxfId="25"/>
    <tableColumn id="3" xr3:uid="{3D4D91F2-311C-4D85-A24F-9FFC98999BFD}" name="q" dataDxfId="24"/>
    <tableColumn id="4" xr3:uid="{822473D0-F1B1-49BA-BAB7-64FA68626B35}" name="unit_cost" dataDxfId="23"/>
    <tableColumn id="5" xr3:uid="{C3819FA3-7D8F-4B32-B52D-24E48508BA57}" name="total" dataDxfId="22"/>
    <tableColumn id="6" xr3:uid="{ACBF0D19-AE9E-4AAB-B60F-7566A1D10441}" name="unit_price" dataDxfId="21"/>
    <tableColumn id="7" xr3:uid="{DCE128A3-F7EC-4B7D-953E-B72BC6F75C21}" name="q_sold" dataDxfId="20"/>
    <tableColumn id="8" xr3:uid="{1F1D02B8-7C49-4464-823A-288480609E2F}" name="total_sold" dataDxfId="19"/>
    <tableColumn id="9" xr3:uid="{6154B92D-F123-4385-AF83-A4B879D4F752}" name="total_cost_sold" dataDxfId="18"/>
    <tableColumn id="10" xr3:uid="{2D0EBEF6-3F74-4745-80BE-E018445DB098}" name="net" dataDxfId="17"/>
    <tableColumn id="11" xr3:uid="{CD6544AE-6A72-4CA6-9D72-B50ECAAFA214}" name="q_stil" dataDxfId="16"/>
    <tableColumn id="12" xr3:uid="{52C16B74-6EF3-4085-AB4A-04C15FEBF7BB}" name="cost_stil" dataDxfId="15"/>
    <tableColumn id="13" xr3:uid="{7A2A0B4F-E0B0-422C-932A-52388C293CC9}" name="net_per_one" dataDxfId="1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9D5192-3243-4F97-B8AF-AA1598E96B0F}" name="Table7" displayName="Table7" ref="A1:H31" totalsRowShown="0">
  <autoFilter ref="A1:H31" xr:uid="{439D5192-3243-4F97-B8AF-AA1598E96B0F}"/>
  <tableColumns count="8">
    <tableColumn id="1" xr3:uid="{572B5F8D-77E9-4CC6-AA0A-341B64778D92}" name="invoce_id"/>
    <tableColumn id="8" xr3:uid="{9382CA48-816C-4AF9-8123-DB2E8C8BF374}" name="id"/>
    <tableColumn id="2" xr3:uid="{47A96AFE-5ADB-4AA9-96A9-9530C045D8CE}" name="customer"/>
    <tableColumn id="3" xr3:uid="{C0077528-9090-493B-B785-3323FE82696B}" name="product_id" dataDxfId="13"/>
    <tableColumn id="4" xr3:uid="{1B8D4926-4FCE-46BB-9B52-DD32B23ADC27}" name="product" dataDxfId="12">
      <calculatedColumnFormula>VLOOKUP(D2, Home!$B$2:$C$100, 2, FALSE)</calculatedColumnFormula>
    </tableColumn>
    <tableColumn id="5" xr3:uid="{80DC2435-E420-459C-B09D-793B5222B338}" name="q"/>
    <tableColumn id="6" xr3:uid="{48C5E309-8D4B-4A21-BDF9-0A8686385830}" name="unit_price">
      <calculatedColumnFormula>VLOOKUP(D2, Home!$B$2:$G$1002, 6, FALSE)</calculatedColumnFormula>
    </tableColumn>
    <tableColumn id="7" xr3:uid="{FCEC64EC-6054-42F4-8447-B64132919FC8}" name="total">
      <calculatedColumnFormula>F2*G2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0CC5B-97EE-4374-BAD2-39314AD43579}" name="Table1" displayName="Table1" ref="A1:F26" totalsRowCount="1">
  <autoFilter ref="A1:F25" xr:uid="{08F0CC5B-97EE-4374-BAD2-39314AD43579}"/>
  <tableColumns count="6">
    <tableColumn id="1" xr3:uid="{FE0C9BD5-4448-483C-B97C-40EC4F676D5C}" name="date" dataDxfId="11" totalsRowDxfId="5"/>
    <tableColumn id="2" xr3:uid="{58A7F385-05D1-465A-9169-847E82D7B056}" name="invoice_id" dataDxfId="10" totalsRowDxfId="4"/>
    <tableColumn id="3" xr3:uid="{379F8318-0F75-434F-B6A3-0BFBB63C191C}" name="customer"/>
    <tableColumn id="6" xr3:uid="{B75E4AE2-78FE-4015-AE5B-6EDC8A20E8C2}" name="total"/>
    <tableColumn id="4" xr3:uid="{D74438D6-0873-4255-A2AC-0CF686F34D69}" name="pay" totalsRowFunction="custom">
      <totalsRowFormula>SUM(Table1[pay])</totalsRowFormula>
    </tableColumn>
    <tableColumn id="5" xr3:uid="{219AC878-6A9C-4203-9AB3-A7DB0573A321}" name="on_account" totalsRowFunction="custom" dataDxfId="9" totalsRowDxfId="3">
      <calculatedColumnFormula>SUM(Table1[[#This Row],[total]]-Table1[[#This Row],[pay]])</calculatedColumnFormula>
      <totalsRowFormula>SUM(Table1[on_account])</totalsRow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6E36F7-A551-4F2E-B614-8D9150515906}" name="Table2" displayName="Table2" ref="A1:C12" totalsRowCount="1">
  <autoFilter ref="A1:C11" xr:uid="{B06E36F7-A551-4F2E-B614-8D9150515906}"/>
  <tableColumns count="3">
    <tableColumn id="1" xr3:uid="{9A7F95A3-1BAE-426A-A7FB-6801D7C3EE6D}" name="date" dataDxfId="8" totalsRowDxfId="2"/>
    <tableColumn id="2" xr3:uid="{08AECF47-8C9D-4F8B-A63A-FA1978CE44B3}" name="customer" dataDxfId="7" totalsRowDxfId="1"/>
    <tableColumn id="3" xr3:uid="{CF0CDDCA-5211-4E71-BC9C-7F88DEBB8ACA}" name="amount" totalsRowFunction="custom" dataDxfId="6" totalsRowDxfId="0">
      <totalsRowFormula>SUM(Table2[amount])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rightToLeft="1" topLeftCell="E1" workbookViewId="0">
      <selection activeCell="O1" sqref="O1:O1048576"/>
    </sheetView>
  </sheetViews>
  <sheetFormatPr defaultRowHeight="15" x14ac:dyDescent="0.25"/>
  <cols>
    <col min="1" max="1" width="11" style="12" customWidth="1"/>
    <col min="3" max="3" width="38.28515625" bestFit="1" customWidth="1"/>
    <col min="4" max="4" width="11" style="12" customWidth="1"/>
    <col min="5" max="5" width="13.42578125" customWidth="1"/>
    <col min="6" max="6" width="15.7109375" style="1" customWidth="1"/>
    <col min="7" max="7" width="9.140625" style="12"/>
    <col min="8" max="8" width="12.28515625" style="12" customWidth="1"/>
    <col min="9" max="9" width="14.140625" style="3" customWidth="1"/>
    <col min="10" max="10" width="14.28515625" style="3" customWidth="1"/>
    <col min="11" max="11" width="14" style="12" customWidth="1"/>
    <col min="12" max="12" width="10.42578125" style="12" customWidth="1"/>
    <col min="13" max="13" width="20.140625" style="12" bestFit="1" customWidth="1"/>
    <col min="14" max="14" width="14" style="12" bestFit="1" customWidth="1"/>
    <col min="15" max="16" width="18.5703125" style="12" customWidth="1"/>
    <col min="17" max="17" width="12.5703125" style="12" customWidth="1"/>
    <col min="18" max="16384" width="9.140625" style="12"/>
  </cols>
  <sheetData>
    <row r="1" spans="1:14" x14ac:dyDescent="0.25">
      <c r="A1" s="12" t="s">
        <v>67</v>
      </c>
      <c r="B1" s="12" t="s">
        <v>59</v>
      </c>
      <c r="C1" s="1" t="s">
        <v>68</v>
      </c>
      <c r="D1" s="12" t="s">
        <v>72</v>
      </c>
      <c r="E1" s="12" t="s">
        <v>70</v>
      </c>
      <c r="F1" s="3" t="s">
        <v>69</v>
      </c>
      <c r="G1" s="3" t="s">
        <v>71</v>
      </c>
      <c r="H1" s="12" t="s">
        <v>73</v>
      </c>
      <c r="I1" s="12" t="s">
        <v>74</v>
      </c>
      <c r="J1" s="12" t="s">
        <v>75</v>
      </c>
      <c r="K1" s="12" t="s">
        <v>76</v>
      </c>
      <c r="L1" s="12" t="s">
        <v>77</v>
      </c>
      <c r="M1" s="12" t="s">
        <v>78</v>
      </c>
      <c r="N1" s="12" t="s">
        <v>79</v>
      </c>
    </row>
    <row r="2" spans="1:14" x14ac:dyDescent="0.25">
      <c r="A2" s="12">
        <v>2127</v>
      </c>
      <c r="B2" s="12">
        <v>143</v>
      </c>
      <c r="C2" s="1" t="s">
        <v>65</v>
      </c>
      <c r="D2" s="12">
        <v>4</v>
      </c>
      <c r="E2" s="12">
        <v>900</v>
      </c>
      <c r="F2" s="3">
        <f t="shared" ref="F2:F7" si="0">D2*E2</f>
        <v>3600</v>
      </c>
      <c r="G2" s="3">
        <v>1000</v>
      </c>
      <c r="H2" s="3">
        <v>4</v>
      </c>
      <c r="I2" s="12">
        <f t="shared" ref="I2:I33" si="1">G2*H2</f>
        <v>4000</v>
      </c>
      <c r="J2" s="12">
        <f t="shared" ref="J2:J33" si="2">H2*E2</f>
        <v>3600</v>
      </c>
      <c r="K2" s="12">
        <f t="shared" ref="K2:K33" si="3">I2-J2</f>
        <v>400</v>
      </c>
      <c r="L2" s="12">
        <f t="shared" ref="L2:L33" si="4">D2-H2</f>
        <v>0</v>
      </c>
      <c r="M2" s="12">
        <f t="shared" ref="M2:M33" si="5">L2*E2</f>
        <v>0</v>
      </c>
      <c r="N2" s="12">
        <f>Table3[[#This Row],[unit_price]]-Table3[[#This Row],[unit_cost]]</f>
        <v>100</v>
      </c>
    </row>
    <row r="3" spans="1:14" x14ac:dyDescent="0.25">
      <c r="A3" s="12">
        <v>2127</v>
      </c>
      <c r="B3" s="12">
        <v>142</v>
      </c>
      <c r="C3" s="1" t="s">
        <v>64</v>
      </c>
      <c r="D3" s="12">
        <v>2</v>
      </c>
      <c r="E3" s="12">
        <v>700</v>
      </c>
      <c r="F3" s="3">
        <f t="shared" si="0"/>
        <v>1400</v>
      </c>
      <c r="G3" s="3">
        <v>900</v>
      </c>
      <c r="H3" s="3">
        <v>0</v>
      </c>
      <c r="I3" s="12">
        <f t="shared" si="1"/>
        <v>0</v>
      </c>
      <c r="J3" s="12">
        <f t="shared" si="2"/>
        <v>0</v>
      </c>
      <c r="K3" s="12">
        <f t="shared" si="3"/>
        <v>0</v>
      </c>
      <c r="L3" s="12">
        <f t="shared" si="4"/>
        <v>2</v>
      </c>
      <c r="M3" s="12">
        <f t="shared" si="5"/>
        <v>1400</v>
      </c>
      <c r="N3" s="12">
        <f>Table3[[#This Row],[unit_price]]-Table3[[#This Row],[unit_cost]]</f>
        <v>200</v>
      </c>
    </row>
    <row r="4" spans="1:14" x14ac:dyDescent="0.25">
      <c r="A4" s="12">
        <v>2127</v>
      </c>
      <c r="B4" s="12">
        <v>141</v>
      </c>
      <c r="C4" s="1" t="s">
        <v>63</v>
      </c>
      <c r="D4" s="12">
        <v>1</v>
      </c>
      <c r="E4" s="12">
        <v>650</v>
      </c>
      <c r="F4" s="3">
        <f t="shared" si="0"/>
        <v>650</v>
      </c>
      <c r="G4" s="3">
        <v>900</v>
      </c>
      <c r="H4" s="3">
        <v>1</v>
      </c>
      <c r="I4" s="12">
        <f t="shared" si="1"/>
        <v>900</v>
      </c>
      <c r="J4" s="12">
        <f t="shared" si="2"/>
        <v>650</v>
      </c>
      <c r="K4" s="12">
        <f t="shared" si="3"/>
        <v>250</v>
      </c>
      <c r="L4" s="12">
        <f t="shared" si="4"/>
        <v>0</v>
      </c>
      <c r="M4" s="12">
        <f t="shared" si="5"/>
        <v>0</v>
      </c>
      <c r="N4" s="12">
        <f>Table3[[#This Row],[unit_price]]-Table3[[#This Row],[unit_cost]]</f>
        <v>250</v>
      </c>
    </row>
    <row r="5" spans="1:14" x14ac:dyDescent="0.25">
      <c r="A5" s="12">
        <v>2127</v>
      </c>
      <c r="B5" s="12">
        <v>140</v>
      </c>
      <c r="C5" s="1" t="s">
        <v>62</v>
      </c>
      <c r="D5" s="12">
        <v>1</v>
      </c>
      <c r="E5" s="12">
        <v>2800</v>
      </c>
      <c r="F5" s="3">
        <f t="shared" si="0"/>
        <v>2800</v>
      </c>
      <c r="G5" s="3">
        <v>3200</v>
      </c>
      <c r="H5" s="3">
        <v>1</v>
      </c>
      <c r="I5" s="12">
        <f t="shared" si="1"/>
        <v>3200</v>
      </c>
      <c r="J5" s="12">
        <f t="shared" si="2"/>
        <v>2800</v>
      </c>
      <c r="K5" s="12">
        <f t="shared" si="3"/>
        <v>400</v>
      </c>
      <c r="L5" s="12">
        <f t="shared" si="4"/>
        <v>0</v>
      </c>
      <c r="M5" s="12">
        <f t="shared" si="5"/>
        <v>0</v>
      </c>
      <c r="N5" s="12">
        <f>Table3[[#This Row],[unit_price]]-Table3[[#This Row],[unit_cost]]</f>
        <v>400</v>
      </c>
    </row>
    <row r="6" spans="1:14" x14ac:dyDescent="0.25">
      <c r="A6" s="12">
        <v>2127</v>
      </c>
      <c r="B6" s="12">
        <v>139</v>
      </c>
      <c r="C6" s="1" t="s">
        <v>61</v>
      </c>
      <c r="D6" s="12">
        <v>1</v>
      </c>
      <c r="E6" s="12">
        <v>1200</v>
      </c>
      <c r="F6" s="3">
        <f t="shared" si="0"/>
        <v>1200</v>
      </c>
      <c r="G6" s="3">
        <v>1500</v>
      </c>
      <c r="H6" s="3">
        <v>1</v>
      </c>
      <c r="I6" s="12">
        <f t="shared" si="1"/>
        <v>1500</v>
      </c>
      <c r="J6" s="12">
        <f t="shared" si="2"/>
        <v>1200</v>
      </c>
      <c r="K6" s="12">
        <f t="shared" si="3"/>
        <v>300</v>
      </c>
      <c r="L6" s="12">
        <f t="shared" si="4"/>
        <v>0</v>
      </c>
      <c r="M6" s="12">
        <f t="shared" si="5"/>
        <v>0</v>
      </c>
      <c r="N6" s="12">
        <f>Table3[[#This Row],[unit_price]]-Table3[[#This Row],[unit_cost]]</f>
        <v>300</v>
      </c>
    </row>
    <row r="7" spans="1:14" x14ac:dyDescent="0.25">
      <c r="A7" s="12">
        <v>2123</v>
      </c>
      <c r="B7" s="12">
        <v>139</v>
      </c>
      <c r="C7" s="1" t="s">
        <v>50</v>
      </c>
      <c r="D7" s="12">
        <v>3</v>
      </c>
      <c r="E7" s="12">
        <v>4250</v>
      </c>
      <c r="F7" s="3">
        <f t="shared" si="0"/>
        <v>12750</v>
      </c>
      <c r="G7" s="3">
        <v>4700</v>
      </c>
      <c r="H7" s="3">
        <v>3</v>
      </c>
      <c r="I7" s="12">
        <f t="shared" si="1"/>
        <v>14100</v>
      </c>
      <c r="J7" s="12">
        <f t="shared" si="2"/>
        <v>12750</v>
      </c>
      <c r="K7" s="12">
        <f t="shared" si="3"/>
        <v>1350</v>
      </c>
      <c r="L7" s="12">
        <f t="shared" si="4"/>
        <v>0</v>
      </c>
      <c r="M7" s="12">
        <f t="shared" si="5"/>
        <v>0</v>
      </c>
      <c r="N7" s="12">
        <f>Table3[[#This Row],[unit_price]]-Table3[[#This Row],[unit_cost]]</f>
        <v>450</v>
      </c>
    </row>
    <row r="8" spans="1:14" x14ac:dyDescent="0.25">
      <c r="A8" s="12">
        <v>2122</v>
      </c>
      <c r="B8" s="12">
        <v>138</v>
      </c>
      <c r="C8" s="1" t="s">
        <v>37</v>
      </c>
      <c r="D8" s="12">
        <v>10</v>
      </c>
      <c r="E8" s="12">
        <v>400</v>
      </c>
      <c r="F8" s="12">
        <v>4000</v>
      </c>
      <c r="G8" s="3">
        <v>500</v>
      </c>
      <c r="H8" s="3">
        <v>4</v>
      </c>
      <c r="I8" s="12">
        <f t="shared" si="1"/>
        <v>2000</v>
      </c>
      <c r="J8" s="12">
        <f t="shared" si="2"/>
        <v>1600</v>
      </c>
      <c r="K8" s="12">
        <f t="shared" si="3"/>
        <v>400</v>
      </c>
      <c r="L8" s="12">
        <f t="shared" si="4"/>
        <v>6</v>
      </c>
      <c r="M8" s="12">
        <f t="shared" si="5"/>
        <v>2400</v>
      </c>
      <c r="N8" s="12">
        <f>Table3[[#This Row],[unit_price]]-Table3[[#This Row],[unit_cost]]</f>
        <v>100</v>
      </c>
    </row>
    <row r="9" spans="1:14" x14ac:dyDescent="0.25">
      <c r="A9" s="12">
        <v>2083</v>
      </c>
      <c r="B9" s="12">
        <v>138</v>
      </c>
      <c r="C9" s="1" t="s">
        <v>37</v>
      </c>
      <c r="D9" s="12">
        <v>20</v>
      </c>
      <c r="E9" s="12">
        <v>450</v>
      </c>
      <c r="F9" s="3">
        <v>9000</v>
      </c>
      <c r="G9" s="3">
        <v>500</v>
      </c>
      <c r="H9" s="3">
        <v>23</v>
      </c>
      <c r="I9" s="12">
        <f t="shared" si="1"/>
        <v>11500</v>
      </c>
      <c r="J9" s="12">
        <f t="shared" si="2"/>
        <v>10350</v>
      </c>
      <c r="K9" s="12">
        <f t="shared" si="3"/>
        <v>1150</v>
      </c>
      <c r="L9" s="12">
        <f t="shared" si="4"/>
        <v>-3</v>
      </c>
      <c r="M9" s="12">
        <f t="shared" si="5"/>
        <v>-1350</v>
      </c>
      <c r="N9" s="12">
        <f>Table3[[#This Row],[unit_price]]-Table3[[#This Row],[unit_cost]]</f>
        <v>50</v>
      </c>
    </row>
    <row r="10" spans="1:14" x14ac:dyDescent="0.25">
      <c r="A10" s="12">
        <v>2122</v>
      </c>
      <c r="B10" s="12">
        <v>137</v>
      </c>
      <c r="C10" s="1" t="s">
        <v>16</v>
      </c>
      <c r="D10" s="12">
        <v>12</v>
      </c>
      <c r="E10" s="12">
        <v>250</v>
      </c>
      <c r="F10" s="12">
        <v>3000</v>
      </c>
      <c r="G10" s="3">
        <v>270</v>
      </c>
      <c r="H10" s="3">
        <v>0</v>
      </c>
      <c r="I10" s="12">
        <f t="shared" si="1"/>
        <v>0</v>
      </c>
      <c r="J10" s="12">
        <f t="shared" si="2"/>
        <v>0</v>
      </c>
      <c r="K10" s="12">
        <f t="shared" si="3"/>
        <v>0</v>
      </c>
      <c r="L10" s="12">
        <f t="shared" si="4"/>
        <v>12</v>
      </c>
      <c r="M10" s="12">
        <f t="shared" si="5"/>
        <v>3000</v>
      </c>
      <c r="N10" s="12">
        <f>Table3[[#This Row],[unit_price]]-Table3[[#This Row],[unit_cost]]</f>
        <v>20</v>
      </c>
    </row>
    <row r="11" spans="1:14" x14ac:dyDescent="0.25">
      <c r="A11" s="12">
        <v>2083</v>
      </c>
      <c r="B11" s="12">
        <v>137</v>
      </c>
      <c r="C11" s="1" t="s">
        <v>16</v>
      </c>
      <c r="D11" s="12">
        <v>24</v>
      </c>
      <c r="E11" s="12">
        <v>250</v>
      </c>
      <c r="F11" s="3">
        <v>6000</v>
      </c>
      <c r="G11" s="3">
        <v>280</v>
      </c>
      <c r="H11" s="3">
        <v>21</v>
      </c>
      <c r="I11" s="12">
        <f t="shared" si="1"/>
        <v>5880</v>
      </c>
      <c r="J11" s="12">
        <f t="shared" si="2"/>
        <v>5250</v>
      </c>
      <c r="K11" s="12">
        <f t="shared" si="3"/>
        <v>630</v>
      </c>
      <c r="L11" s="12">
        <f t="shared" si="4"/>
        <v>3</v>
      </c>
      <c r="M11" s="12">
        <f t="shared" si="5"/>
        <v>750</v>
      </c>
      <c r="N11" s="12">
        <f>Table3[[#This Row],[unit_price]]-Table3[[#This Row],[unit_cost]]</f>
        <v>30</v>
      </c>
    </row>
    <row r="12" spans="1:14" x14ac:dyDescent="0.25">
      <c r="A12" s="12">
        <v>2122</v>
      </c>
      <c r="B12" s="12">
        <v>136</v>
      </c>
      <c r="C12" s="1" t="s">
        <v>30</v>
      </c>
      <c r="D12" s="12">
        <v>12</v>
      </c>
      <c r="E12" s="12">
        <v>400</v>
      </c>
      <c r="F12" s="12">
        <v>4800</v>
      </c>
      <c r="G12" s="3">
        <v>420</v>
      </c>
      <c r="H12" s="3">
        <v>10</v>
      </c>
      <c r="I12" s="12">
        <f t="shared" si="1"/>
        <v>4200</v>
      </c>
      <c r="J12" s="12">
        <f t="shared" si="2"/>
        <v>4000</v>
      </c>
      <c r="K12" s="12">
        <f t="shared" si="3"/>
        <v>200</v>
      </c>
      <c r="L12" s="12">
        <f t="shared" si="4"/>
        <v>2</v>
      </c>
      <c r="M12" s="12">
        <f t="shared" si="5"/>
        <v>800</v>
      </c>
      <c r="N12" s="12">
        <f>Table3[[#This Row],[unit_price]]-Table3[[#This Row],[unit_cost]]</f>
        <v>20</v>
      </c>
    </row>
    <row r="13" spans="1:14" x14ac:dyDescent="0.25">
      <c r="A13" s="12">
        <v>2083</v>
      </c>
      <c r="B13" s="12">
        <v>136</v>
      </c>
      <c r="C13" s="1" t="s">
        <v>30</v>
      </c>
      <c r="D13" s="12">
        <v>24</v>
      </c>
      <c r="E13" s="12">
        <v>400</v>
      </c>
      <c r="F13" s="3">
        <v>9600</v>
      </c>
      <c r="G13" s="3">
        <v>420</v>
      </c>
      <c r="H13" s="3">
        <v>24</v>
      </c>
      <c r="I13" s="12">
        <f t="shared" si="1"/>
        <v>10080</v>
      </c>
      <c r="J13" s="12">
        <f t="shared" si="2"/>
        <v>9600</v>
      </c>
      <c r="K13" s="12">
        <f t="shared" si="3"/>
        <v>480</v>
      </c>
      <c r="L13" s="12">
        <f t="shared" si="4"/>
        <v>0</v>
      </c>
      <c r="M13" s="12">
        <f t="shared" si="5"/>
        <v>0</v>
      </c>
      <c r="N13" s="12">
        <f>Table3[[#This Row],[unit_price]]-Table3[[#This Row],[unit_cost]]</f>
        <v>20</v>
      </c>
    </row>
    <row r="14" spans="1:14" x14ac:dyDescent="0.25">
      <c r="A14" s="12">
        <v>2122</v>
      </c>
      <c r="B14" s="12">
        <v>135</v>
      </c>
      <c r="C14" s="1" t="s">
        <v>27</v>
      </c>
      <c r="D14" s="12">
        <v>24</v>
      </c>
      <c r="E14" s="12">
        <v>120</v>
      </c>
      <c r="F14" s="12">
        <v>2880</v>
      </c>
      <c r="G14" s="3">
        <v>135</v>
      </c>
      <c r="H14" s="3">
        <v>14</v>
      </c>
      <c r="I14" s="12">
        <f t="shared" si="1"/>
        <v>1890</v>
      </c>
      <c r="J14" s="12">
        <f t="shared" si="2"/>
        <v>1680</v>
      </c>
      <c r="K14" s="12">
        <f t="shared" si="3"/>
        <v>210</v>
      </c>
      <c r="L14" s="12">
        <f t="shared" si="4"/>
        <v>10</v>
      </c>
      <c r="M14" s="12">
        <f t="shared" si="5"/>
        <v>1200</v>
      </c>
      <c r="N14" s="12">
        <f>Table3[[#This Row],[unit_price]]-Table3[[#This Row],[unit_cost]]</f>
        <v>15</v>
      </c>
    </row>
    <row r="15" spans="1:14" x14ac:dyDescent="0.25">
      <c r="A15" s="12">
        <v>2083</v>
      </c>
      <c r="B15" s="12">
        <v>135</v>
      </c>
      <c r="C15" s="1" t="s">
        <v>27</v>
      </c>
      <c r="D15" s="12">
        <v>48</v>
      </c>
      <c r="E15" s="12">
        <v>120</v>
      </c>
      <c r="F15" s="3">
        <v>5760</v>
      </c>
      <c r="G15" s="3">
        <v>135</v>
      </c>
      <c r="H15" s="3">
        <v>48</v>
      </c>
      <c r="I15" s="12">
        <f t="shared" si="1"/>
        <v>6480</v>
      </c>
      <c r="J15" s="12">
        <f t="shared" si="2"/>
        <v>5760</v>
      </c>
      <c r="K15" s="12">
        <f t="shared" si="3"/>
        <v>720</v>
      </c>
      <c r="L15" s="12">
        <f t="shared" si="4"/>
        <v>0</v>
      </c>
      <c r="M15" s="12">
        <f t="shared" si="5"/>
        <v>0</v>
      </c>
      <c r="N15" s="12">
        <f>Table3[[#This Row],[unit_price]]-Table3[[#This Row],[unit_cost]]</f>
        <v>15</v>
      </c>
    </row>
    <row r="16" spans="1:14" x14ac:dyDescent="0.25">
      <c r="A16" s="12">
        <v>2083</v>
      </c>
      <c r="B16" s="12">
        <v>134</v>
      </c>
      <c r="C16" s="1" t="s">
        <v>25</v>
      </c>
      <c r="D16" s="12">
        <v>3</v>
      </c>
      <c r="E16" s="14">
        <v>1200</v>
      </c>
      <c r="F16" s="3">
        <v>3600</v>
      </c>
      <c r="G16" s="3">
        <v>1400</v>
      </c>
      <c r="H16" s="3">
        <v>2</v>
      </c>
      <c r="I16" s="12">
        <f t="shared" si="1"/>
        <v>2800</v>
      </c>
      <c r="J16" s="12">
        <f t="shared" si="2"/>
        <v>2400</v>
      </c>
      <c r="K16" s="12">
        <f t="shared" si="3"/>
        <v>400</v>
      </c>
      <c r="L16" s="12">
        <f t="shared" si="4"/>
        <v>1</v>
      </c>
      <c r="M16" s="12">
        <f t="shared" si="5"/>
        <v>1200</v>
      </c>
      <c r="N16" s="12">
        <f>Table3[[#This Row],[unit_price]]-Table3[[#This Row],[unit_cost]]</f>
        <v>200</v>
      </c>
    </row>
    <row r="17" spans="1:14" x14ac:dyDescent="0.25">
      <c r="A17" s="12">
        <v>2122</v>
      </c>
      <c r="B17" s="12">
        <v>133</v>
      </c>
      <c r="C17" s="1" t="s">
        <v>1</v>
      </c>
      <c r="D17" s="12">
        <v>3</v>
      </c>
      <c r="E17" s="12">
        <v>650</v>
      </c>
      <c r="F17" s="12">
        <v>1950</v>
      </c>
      <c r="G17" s="3">
        <v>1000</v>
      </c>
      <c r="H17" s="3">
        <v>1</v>
      </c>
      <c r="I17" s="12">
        <f t="shared" si="1"/>
        <v>1000</v>
      </c>
      <c r="J17" s="12">
        <f t="shared" si="2"/>
        <v>650</v>
      </c>
      <c r="K17" s="12">
        <f t="shared" si="3"/>
        <v>350</v>
      </c>
      <c r="L17" s="12">
        <f t="shared" si="4"/>
        <v>2</v>
      </c>
      <c r="M17" s="12">
        <f t="shared" si="5"/>
        <v>1300</v>
      </c>
      <c r="N17" s="12">
        <f>Table3[[#This Row],[unit_price]]-Table3[[#This Row],[unit_cost]]</f>
        <v>350</v>
      </c>
    </row>
    <row r="18" spans="1:14" x14ac:dyDescent="0.25">
      <c r="A18" s="12">
        <v>2083</v>
      </c>
      <c r="B18" s="12">
        <v>133</v>
      </c>
      <c r="C18" s="1" t="s">
        <v>1</v>
      </c>
      <c r="D18" s="12">
        <v>6</v>
      </c>
      <c r="E18" s="12">
        <v>700</v>
      </c>
      <c r="F18" s="3">
        <v>4200</v>
      </c>
      <c r="G18" s="3">
        <v>1000</v>
      </c>
      <c r="H18" s="3">
        <v>6</v>
      </c>
      <c r="I18" s="12">
        <f t="shared" si="1"/>
        <v>6000</v>
      </c>
      <c r="J18" s="12">
        <f t="shared" si="2"/>
        <v>4200</v>
      </c>
      <c r="K18" s="12">
        <f t="shared" si="3"/>
        <v>1800</v>
      </c>
      <c r="L18" s="12">
        <f t="shared" si="4"/>
        <v>0</v>
      </c>
      <c r="M18" s="12">
        <f t="shared" si="5"/>
        <v>0</v>
      </c>
      <c r="N18" s="12">
        <f>Table3[[#This Row],[unit_price]]-Table3[[#This Row],[unit_cost]]</f>
        <v>300</v>
      </c>
    </row>
    <row r="19" spans="1:14" x14ac:dyDescent="0.25">
      <c r="A19" s="12">
        <v>2083</v>
      </c>
      <c r="B19" s="12">
        <v>132</v>
      </c>
      <c r="C19" s="1" t="s">
        <v>20</v>
      </c>
      <c r="D19" s="12">
        <v>36</v>
      </c>
      <c r="E19" s="12">
        <v>250</v>
      </c>
      <c r="F19" s="3">
        <v>9000</v>
      </c>
      <c r="G19" s="3">
        <v>300</v>
      </c>
      <c r="H19" s="3">
        <v>36</v>
      </c>
      <c r="I19" s="12">
        <f t="shared" si="1"/>
        <v>10800</v>
      </c>
      <c r="J19" s="12">
        <f t="shared" si="2"/>
        <v>9000</v>
      </c>
      <c r="K19" s="12">
        <f t="shared" si="3"/>
        <v>1800</v>
      </c>
      <c r="L19" s="12">
        <f t="shared" si="4"/>
        <v>0</v>
      </c>
      <c r="M19" s="12">
        <f t="shared" si="5"/>
        <v>0</v>
      </c>
      <c r="N19" s="12">
        <f>Table3[[#This Row],[unit_price]]-Table3[[#This Row],[unit_cost]]</f>
        <v>50</v>
      </c>
    </row>
    <row r="20" spans="1:14" x14ac:dyDescent="0.25">
      <c r="A20" s="12">
        <v>2083</v>
      </c>
      <c r="B20" s="12">
        <v>131</v>
      </c>
      <c r="C20" s="1" t="s">
        <v>15</v>
      </c>
      <c r="D20" s="12">
        <v>18</v>
      </c>
      <c r="E20" s="12">
        <v>750</v>
      </c>
      <c r="F20" s="3">
        <v>13500</v>
      </c>
      <c r="G20" s="3">
        <v>800</v>
      </c>
      <c r="H20" s="3">
        <v>6</v>
      </c>
      <c r="I20" s="12">
        <f t="shared" si="1"/>
        <v>4800</v>
      </c>
      <c r="J20" s="12">
        <f t="shared" si="2"/>
        <v>4500</v>
      </c>
      <c r="K20" s="12">
        <f t="shared" si="3"/>
        <v>300</v>
      </c>
      <c r="L20" s="12">
        <f t="shared" si="4"/>
        <v>12</v>
      </c>
      <c r="M20" s="12">
        <f t="shared" si="5"/>
        <v>9000</v>
      </c>
      <c r="N20" s="12">
        <f>Table3[[#This Row],[unit_price]]-Table3[[#This Row],[unit_cost]]</f>
        <v>50</v>
      </c>
    </row>
    <row r="21" spans="1:14" x14ac:dyDescent="0.25">
      <c r="A21" s="12">
        <v>2083</v>
      </c>
      <c r="B21" s="12">
        <v>130</v>
      </c>
      <c r="C21" s="2" t="s">
        <v>6</v>
      </c>
      <c r="D21" s="12">
        <v>12</v>
      </c>
      <c r="E21" s="12">
        <v>350</v>
      </c>
      <c r="F21" s="3">
        <v>4200</v>
      </c>
      <c r="G21" s="3">
        <v>400</v>
      </c>
      <c r="H21" s="3">
        <v>12</v>
      </c>
      <c r="I21" s="12">
        <f t="shared" si="1"/>
        <v>4800</v>
      </c>
      <c r="J21" s="12">
        <f t="shared" si="2"/>
        <v>4200</v>
      </c>
      <c r="K21" s="12">
        <f t="shared" si="3"/>
        <v>600</v>
      </c>
      <c r="L21" s="12">
        <f t="shared" si="4"/>
        <v>0</v>
      </c>
      <c r="M21" s="12">
        <f t="shared" si="5"/>
        <v>0</v>
      </c>
      <c r="N21" s="12">
        <f>Table3[[#This Row],[unit_price]]-Table3[[#This Row],[unit_cost]]</f>
        <v>50</v>
      </c>
    </row>
    <row r="22" spans="1:14" x14ac:dyDescent="0.25">
      <c r="A22" s="12">
        <v>2083</v>
      </c>
      <c r="B22" s="12">
        <v>129</v>
      </c>
      <c r="C22" s="1" t="s">
        <v>21</v>
      </c>
      <c r="D22" s="12">
        <v>24</v>
      </c>
      <c r="E22" s="12">
        <v>400</v>
      </c>
      <c r="F22" s="3">
        <v>9600</v>
      </c>
      <c r="G22" s="3">
        <v>450</v>
      </c>
      <c r="H22" s="3">
        <v>6</v>
      </c>
      <c r="I22" s="12">
        <f t="shared" si="1"/>
        <v>2700</v>
      </c>
      <c r="J22" s="12">
        <f t="shared" si="2"/>
        <v>2400</v>
      </c>
      <c r="K22" s="12">
        <f t="shared" si="3"/>
        <v>300</v>
      </c>
      <c r="L22" s="12">
        <f t="shared" si="4"/>
        <v>18</v>
      </c>
      <c r="M22" s="12">
        <f t="shared" si="5"/>
        <v>7200</v>
      </c>
      <c r="N22" s="12">
        <f>Table3[[#This Row],[unit_price]]-Table3[[#This Row],[unit_cost]]</f>
        <v>50</v>
      </c>
    </row>
    <row r="23" spans="1:14" x14ac:dyDescent="0.25">
      <c r="A23" s="12">
        <v>2083</v>
      </c>
      <c r="B23" s="12">
        <v>128</v>
      </c>
      <c r="C23" s="1" t="s">
        <v>5</v>
      </c>
      <c r="D23" s="12">
        <v>24</v>
      </c>
      <c r="E23" s="12">
        <v>450</v>
      </c>
      <c r="F23" s="3">
        <v>10800</v>
      </c>
      <c r="G23" s="3">
        <v>470</v>
      </c>
      <c r="H23" s="3">
        <v>7</v>
      </c>
      <c r="I23" s="12">
        <f t="shared" si="1"/>
        <v>3290</v>
      </c>
      <c r="J23" s="12">
        <f t="shared" si="2"/>
        <v>3150</v>
      </c>
      <c r="K23" s="12">
        <f t="shared" si="3"/>
        <v>140</v>
      </c>
      <c r="L23" s="12">
        <f t="shared" si="4"/>
        <v>17</v>
      </c>
      <c r="M23" s="12">
        <f t="shared" si="5"/>
        <v>7650</v>
      </c>
      <c r="N23" s="12">
        <f>Table3[[#This Row],[unit_price]]-Table3[[#This Row],[unit_cost]]</f>
        <v>20</v>
      </c>
    </row>
    <row r="24" spans="1:14" x14ac:dyDescent="0.25">
      <c r="A24" s="12">
        <v>2122</v>
      </c>
      <c r="B24" s="12">
        <v>127</v>
      </c>
      <c r="C24" s="1" t="s">
        <v>23</v>
      </c>
      <c r="D24" s="12">
        <v>144</v>
      </c>
      <c r="E24" s="12">
        <v>35</v>
      </c>
      <c r="F24" s="12">
        <v>5040</v>
      </c>
      <c r="G24" s="3">
        <v>45</v>
      </c>
      <c r="H24" s="3">
        <v>0</v>
      </c>
      <c r="I24" s="12">
        <f t="shared" si="1"/>
        <v>0</v>
      </c>
      <c r="J24" s="12">
        <f t="shared" si="2"/>
        <v>0</v>
      </c>
      <c r="K24" s="12">
        <f t="shared" si="3"/>
        <v>0</v>
      </c>
      <c r="L24" s="12">
        <f t="shared" si="4"/>
        <v>144</v>
      </c>
      <c r="M24" s="12">
        <f t="shared" si="5"/>
        <v>5040</v>
      </c>
      <c r="N24" s="12">
        <f>Table3[[#This Row],[unit_price]]-Table3[[#This Row],[unit_cost]]</f>
        <v>10</v>
      </c>
    </row>
    <row r="25" spans="1:14" x14ac:dyDescent="0.25">
      <c r="A25" s="12">
        <v>2083</v>
      </c>
      <c r="B25" s="12">
        <v>127</v>
      </c>
      <c r="C25" s="1" t="s">
        <v>23</v>
      </c>
      <c r="D25" s="12">
        <v>240</v>
      </c>
      <c r="E25" s="12">
        <v>40</v>
      </c>
      <c r="F25" s="3">
        <v>9600</v>
      </c>
      <c r="G25" s="3">
        <v>45</v>
      </c>
      <c r="H25" s="3">
        <v>240</v>
      </c>
      <c r="I25" s="12">
        <f t="shared" si="1"/>
        <v>10800</v>
      </c>
      <c r="J25" s="12">
        <f t="shared" si="2"/>
        <v>9600</v>
      </c>
      <c r="K25" s="12">
        <f t="shared" si="3"/>
        <v>1200</v>
      </c>
      <c r="L25" s="12">
        <f t="shared" si="4"/>
        <v>0</v>
      </c>
      <c r="M25" s="12">
        <f t="shared" si="5"/>
        <v>0</v>
      </c>
      <c r="N25" s="12">
        <f>Table3[[#This Row],[unit_price]]-Table3[[#This Row],[unit_cost]]</f>
        <v>5</v>
      </c>
    </row>
    <row r="26" spans="1:14" x14ac:dyDescent="0.25">
      <c r="A26" s="12">
        <v>2083</v>
      </c>
      <c r="B26" s="12">
        <v>126</v>
      </c>
      <c r="C26" s="1" t="s">
        <v>13</v>
      </c>
      <c r="D26" s="12">
        <v>4</v>
      </c>
      <c r="E26" s="12">
        <v>800</v>
      </c>
      <c r="F26" s="3">
        <v>4800</v>
      </c>
      <c r="G26" s="3">
        <v>900</v>
      </c>
      <c r="H26" s="3">
        <v>4</v>
      </c>
      <c r="I26" s="12">
        <f t="shared" si="1"/>
        <v>3600</v>
      </c>
      <c r="J26" s="12">
        <f t="shared" si="2"/>
        <v>3200</v>
      </c>
      <c r="K26" s="12">
        <f t="shared" si="3"/>
        <v>400</v>
      </c>
      <c r="L26" s="12">
        <f t="shared" si="4"/>
        <v>0</v>
      </c>
      <c r="M26" s="12">
        <f t="shared" si="5"/>
        <v>0</v>
      </c>
      <c r="N26" s="12">
        <f>Table3[[#This Row],[unit_price]]-Table3[[#This Row],[unit_cost]]</f>
        <v>100</v>
      </c>
    </row>
    <row r="27" spans="1:14" x14ac:dyDescent="0.25">
      <c r="A27" s="12">
        <v>2083</v>
      </c>
      <c r="B27" s="12">
        <v>125</v>
      </c>
      <c r="C27" s="1" t="s">
        <v>12</v>
      </c>
      <c r="D27" s="12">
        <v>6</v>
      </c>
      <c r="E27" s="12">
        <v>900</v>
      </c>
      <c r="F27" s="3">
        <v>5400</v>
      </c>
      <c r="G27" s="3">
        <v>900</v>
      </c>
      <c r="H27" s="3">
        <v>4</v>
      </c>
      <c r="I27" s="12">
        <f t="shared" si="1"/>
        <v>3600</v>
      </c>
      <c r="J27" s="12">
        <f t="shared" si="2"/>
        <v>3600</v>
      </c>
      <c r="K27" s="12">
        <f t="shared" si="3"/>
        <v>0</v>
      </c>
      <c r="L27" s="12">
        <f t="shared" si="4"/>
        <v>2</v>
      </c>
      <c r="M27" s="12">
        <f t="shared" si="5"/>
        <v>1800</v>
      </c>
      <c r="N27" s="12">
        <f>Table3[[#This Row],[unit_price]]-Table3[[#This Row],[unit_cost]]</f>
        <v>0</v>
      </c>
    </row>
    <row r="28" spans="1:14" x14ac:dyDescent="0.25">
      <c r="A28" s="12">
        <v>2123</v>
      </c>
      <c r="B28" s="12">
        <v>124</v>
      </c>
      <c r="C28" s="1" t="s">
        <v>26</v>
      </c>
      <c r="D28" s="12">
        <v>2</v>
      </c>
      <c r="E28" s="12">
        <v>750</v>
      </c>
      <c r="F28" s="3">
        <f>D28*E28</f>
        <v>1500</v>
      </c>
      <c r="G28" s="3">
        <v>950</v>
      </c>
      <c r="H28" s="3">
        <v>0</v>
      </c>
      <c r="I28" s="12">
        <f t="shared" si="1"/>
        <v>0</v>
      </c>
      <c r="J28" s="12">
        <f t="shared" si="2"/>
        <v>0</v>
      </c>
      <c r="K28" s="12">
        <f t="shared" si="3"/>
        <v>0</v>
      </c>
      <c r="L28" s="12">
        <f t="shared" si="4"/>
        <v>2</v>
      </c>
      <c r="M28" s="12">
        <f t="shared" si="5"/>
        <v>1500</v>
      </c>
      <c r="N28" s="12">
        <f>Table3[[#This Row],[unit_price]]-Table3[[#This Row],[unit_cost]]</f>
        <v>200</v>
      </c>
    </row>
    <row r="29" spans="1:14" x14ac:dyDescent="0.25">
      <c r="A29" s="12">
        <v>2122</v>
      </c>
      <c r="B29" s="12">
        <v>124</v>
      </c>
      <c r="C29" s="1" t="s">
        <v>26</v>
      </c>
      <c r="D29" s="12">
        <v>4</v>
      </c>
      <c r="E29" s="12">
        <v>750</v>
      </c>
      <c r="F29" s="12">
        <v>3000</v>
      </c>
      <c r="G29" s="3">
        <v>950</v>
      </c>
      <c r="H29" s="3">
        <v>0</v>
      </c>
      <c r="I29" s="12">
        <f t="shared" si="1"/>
        <v>0</v>
      </c>
      <c r="J29" s="12">
        <f t="shared" si="2"/>
        <v>0</v>
      </c>
      <c r="K29" s="12">
        <f t="shared" si="3"/>
        <v>0</v>
      </c>
      <c r="L29" s="12">
        <f t="shared" si="4"/>
        <v>4</v>
      </c>
      <c r="M29" s="12">
        <f t="shared" si="5"/>
        <v>3000</v>
      </c>
      <c r="N29" s="12">
        <f>Table3[[#This Row],[unit_price]]-Table3[[#This Row],[unit_cost]]</f>
        <v>200</v>
      </c>
    </row>
    <row r="30" spans="1:14" x14ac:dyDescent="0.25">
      <c r="A30" s="12">
        <v>2083</v>
      </c>
      <c r="B30" s="12">
        <v>124</v>
      </c>
      <c r="C30" s="1" t="s">
        <v>26</v>
      </c>
      <c r="D30" s="12">
        <v>6</v>
      </c>
      <c r="E30" s="12">
        <v>850</v>
      </c>
      <c r="F30" s="3">
        <v>5100</v>
      </c>
      <c r="G30" s="3">
        <v>950</v>
      </c>
      <c r="H30" s="3">
        <v>3</v>
      </c>
      <c r="I30" s="12">
        <f t="shared" si="1"/>
        <v>2850</v>
      </c>
      <c r="J30" s="12">
        <f t="shared" si="2"/>
        <v>2550</v>
      </c>
      <c r="K30" s="12">
        <f t="shared" si="3"/>
        <v>300</v>
      </c>
      <c r="L30" s="12">
        <f t="shared" si="4"/>
        <v>3</v>
      </c>
      <c r="M30" s="12">
        <f t="shared" si="5"/>
        <v>2550</v>
      </c>
      <c r="N30" s="12">
        <f>Table3[[#This Row],[unit_price]]-Table3[[#This Row],[unit_cost]]</f>
        <v>100</v>
      </c>
    </row>
    <row r="31" spans="1:14" x14ac:dyDescent="0.25">
      <c r="A31" s="12">
        <v>2083</v>
      </c>
      <c r="B31" s="12">
        <v>123</v>
      </c>
      <c r="C31" s="1" t="s">
        <v>7</v>
      </c>
      <c r="D31" s="12">
        <v>60</v>
      </c>
      <c r="E31" s="12">
        <v>60</v>
      </c>
      <c r="F31" s="3">
        <v>3600</v>
      </c>
      <c r="G31" s="3">
        <v>65</v>
      </c>
      <c r="H31" s="3">
        <v>60</v>
      </c>
      <c r="I31" s="12">
        <f t="shared" si="1"/>
        <v>3900</v>
      </c>
      <c r="J31" s="12">
        <f t="shared" si="2"/>
        <v>3600</v>
      </c>
      <c r="K31" s="12">
        <f t="shared" si="3"/>
        <v>300</v>
      </c>
      <c r="L31" s="12">
        <f t="shared" si="4"/>
        <v>0</v>
      </c>
      <c r="M31" s="12">
        <f t="shared" si="5"/>
        <v>0</v>
      </c>
      <c r="N31" s="12">
        <f>Table3[[#This Row],[unit_price]]-Table3[[#This Row],[unit_cost]]</f>
        <v>5</v>
      </c>
    </row>
    <row r="32" spans="1:14" x14ac:dyDescent="0.25">
      <c r="A32" s="12">
        <v>2083</v>
      </c>
      <c r="B32" s="12">
        <v>122</v>
      </c>
      <c r="C32" s="1" t="s">
        <v>35</v>
      </c>
      <c r="D32" s="12">
        <v>1</v>
      </c>
      <c r="E32" s="12">
        <v>600</v>
      </c>
      <c r="F32" s="3">
        <v>600</v>
      </c>
      <c r="G32" s="3">
        <v>600</v>
      </c>
      <c r="H32" s="3">
        <v>1</v>
      </c>
      <c r="I32" s="12">
        <f t="shared" si="1"/>
        <v>600</v>
      </c>
      <c r="J32" s="12">
        <f t="shared" si="2"/>
        <v>600</v>
      </c>
      <c r="K32" s="12">
        <f t="shared" si="3"/>
        <v>0</v>
      </c>
      <c r="L32" s="12">
        <f t="shared" si="4"/>
        <v>0</v>
      </c>
      <c r="M32" s="12">
        <f t="shared" si="5"/>
        <v>0</v>
      </c>
      <c r="N32" s="12">
        <f>Table3[[#This Row],[unit_price]]-Table3[[#This Row],[unit_cost]]</f>
        <v>0</v>
      </c>
    </row>
    <row r="33" spans="1:14" x14ac:dyDescent="0.25">
      <c r="A33" s="12">
        <v>2083</v>
      </c>
      <c r="B33" s="12">
        <v>121</v>
      </c>
      <c r="C33" s="1" t="s">
        <v>24</v>
      </c>
      <c r="D33" s="12">
        <v>8</v>
      </c>
      <c r="E33" s="12">
        <v>500</v>
      </c>
      <c r="F33" s="3">
        <v>4000</v>
      </c>
      <c r="G33" s="3">
        <v>470</v>
      </c>
      <c r="H33" s="3">
        <v>8</v>
      </c>
      <c r="I33" s="12">
        <f t="shared" si="1"/>
        <v>3760</v>
      </c>
      <c r="J33" s="12">
        <f t="shared" si="2"/>
        <v>4000</v>
      </c>
      <c r="K33" s="12">
        <f t="shared" si="3"/>
        <v>-240</v>
      </c>
      <c r="L33" s="12">
        <f t="shared" si="4"/>
        <v>0</v>
      </c>
      <c r="M33" s="12">
        <f t="shared" si="5"/>
        <v>0</v>
      </c>
      <c r="N33" s="12">
        <f>Table3[[#This Row],[unit_price]]-Table3[[#This Row],[unit_cost]]</f>
        <v>-30</v>
      </c>
    </row>
    <row r="34" spans="1:14" x14ac:dyDescent="0.25">
      <c r="A34" s="12">
        <v>2083</v>
      </c>
      <c r="B34" s="12">
        <v>120</v>
      </c>
      <c r="C34" s="1" t="s">
        <v>14</v>
      </c>
      <c r="D34" s="12">
        <v>24</v>
      </c>
      <c r="E34" s="12">
        <v>250</v>
      </c>
      <c r="F34" s="3">
        <v>6000</v>
      </c>
      <c r="G34" s="3">
        <v>260</v>
      </c>
      <c r="H34" s="3">
        <v>0</v>
      </c>
      <c r="I34" s="12">
        <f t="shared" ref="I34:I59" si="6">G34*H34</f>
        <v>0</v>
      </c>
      <c r="J34" s="12">
        <f t="shared" ref="J34:J59" si="7">H34*E34</f>
        <v>0</v>
      </c>
      <c r="K34" s="12">
        <f t="shared" ref="K34:K59" si="8">I34-J34</f>
        <v>0</v>
      </c>
      <c r="L34" s="12">
        <f t="shared" ref="L34:L59" si="9">D34-H34</f>
        <v>24</v>
      </c>
      <c r="M34" s="12">
        <f t="shared" ref="M34:M59" si="10">L34*E34</f>
        <v>6000</v>
      </c>
      <c r="N34" s="12">
        <f>Table3[[#This Row],[unit_price]]-Table3[[#This Row],[unit_cost]]</f>
        <v>10</v>
      </c>
    </row>
    <row r="35" spans="1:14" x14ac:dyDescent="0.25">
      <c r="A35" s="12">
        <v>2123</v>
      </c>
      <c r="B35" s="12">
        <v>119</v>
      </c>
      <c r="C35" s="1" t="s">
        <v>31</v>
      </c>
      <c r="D35" s="12">
        <v>6</v>
      </c>
      <c r="E35" s="12">
        <v>750</v>
      </c>
      <c r="F35" s="3">
        <f>D35*E35</f>
        <v>4500</v>
      </c>
      <c r="G35" s="3">
        <v>900</v>
      </c>
      <c r="H35" s="3">
        <v>5</v>
      </c>
      <c r="I35" s="12">
        <f t="shared" si="6"/>
        <v>4500</v>
      </c>
      <c r="J35" s="12">
        <f t="shared" si="7"/>
        <v>3750</v>
      </c>
      <c r="K35" s="12">
        <f t="shared" si="8"/>
        <v>750</v>
      </c>
      <c r="L35" s="12">
        <f t="shared" si="9"/>
        <v>1</v>
      </c>
      <c r="M35" s="12">
        <f t="shared" si="10"/>
        <v>750</v>
      </c>
      <c r="N35" s="12">
        <f>Table3[[#This Row],[unit_price]]-Table3[[#This Row],[unit_cost]]</f>
        <v>150</v>
      </c>
    </row>
    <row r="36" spans="1:14" x14ac:dyDescent="0.25">
      <c r="A36" s="12">
        <v>2122</v>
      </c>
      <c r="B36" s="12">
        <v>119</v>
      </c>
      <c r="C36" s="1" t="s">
        <v>31</v>
      </c>
      <c r="D36" s="12">
        <v>12</v>
      </c>
      <c r="E36" s="12">
        <v>750</v>
      </c>
      <c r="F36" s="12">
        <v>9000</v>
      </c>
      <c r="G36" s="3">
        <v>900</v>
      </c>
      <c r="H36" s="3">
        <v>12</v>
      </c>
      <c r="I36" s="12">
        <f t="shared" si="6"/>
        <v>10800</v>
      </c>
      <c r="J36" s="12">
        <f t="shared" si="7"/>
        <v>9000</v>
      </c>
      <c r="K36" s="12">
        <f t="shared" si="8"/>
        <v>1800</v>
      </c>
      <c r="L36" s="12">
        <f t="shared" si="9"/>
        <v>0</v>
      </c>
      <c r="M36" s="12">
        <f t="shared" si="10"/>
        <v>0</v>
      </c>
      <c r="N36" s="12">
        <f>Table3[[#This Row],[unit_price]]-Table3[[#This Row],[unit_cost]]</f>
        <v>150</v>
      </c>
    </row>
    <row r="37" spans="1:14" x14ac:dyDescent="0.25">
      <c r="A37" s="12">
        <v>2083</v>
      </c>
      <c r="B37" s="12">
        <v>119</v>
      </c>
      <c r="C37" s="1" t="s">
        <v>31</v>
      </c>
      <c r="D37" s="12">
        <v>6</v>
      </c>
      <c r="E37" s="12">
        <v>750</v>
      </c>
      <c r="F37" s="3">
        <v>4500</v>
      </c>
      <c r="G37" s="3">
        <v>900</v>
      </c>
      <c r="H37" s="3">
        <v>6</v>
      </c>
      <c r="I37" s="12">
        <f t="shared" si="6"/>
        <v>5400</v>
      </c>
      <c r="J37" s="12">
        <f t="shared" si="7"/>
        <v>4500</v>
      </c>
      <c r="K37" s="12">
        <f t="shared" si="8"/>
        <v>900</v>
      </c>
      <c r="L37" s="12">
        <f t="shared" si="9"/>
        <v>0</v>
      </c>
      <c r="M37" s="12">
        <f t="shared" si="10"/>
        <v>0</v>
      </c>
      <c r="N37" s="12">
        <f>Table3[[#This Row],[unit_price]]-Table3[[#This Row],[unit_cost]]</f>
        <v>150</v>
      </c>
    </row>
    <row r="38" spans="1:14" x14ac:dyDescent="0.25">
      <c r="A38" s="12">
        <v>2122</v>
      </c>
      <c r="B38" s="12">
        <v>118</v>
      </c>
      <c r="C38" s="1" t="s">
        <v>0</v>
      </c>
      <c r="D38" s="12">
        <v>12</v>
      </c>
      <c r="E38" s="12">
        <v>600</v>
      </c>
      <c r="F38" s="12">
        <v>7200</v>
      </c>
      <c r="G38" s="3">
        <v>750</v>
      </c>
      <c r="H38" s="3">
        <v>8</v>
      </c>
      <c r="I38" s="12">
        <f t="shared" si="6"/>
        <v>6000</v>
      </c>
      <c r="J38" s="12">
        <f t="shared" si="7"/>
        <v>4800</v>
      </c>
      <c r="K38" s="12">
        <f t="shared" si="8"/>
        <v>1200</v>
      </c>
      <c r="L38" s="12">
        <f t="shared" si="9"/>
        <v>4</v>
      </c>
      <c r="M38" s="12">
        <f t="shared" si="10"/>
        <v>2400</v>
      </c>
      <c r="N38" s="12">
        <f>Table3[[#This Row],[unit_price]]-Table3[[#This Row],[unit_cost]]</f>
        <v>150</v>
      </c>
    </row>
    <row r="39" spans="1:14" x14ac:dyDescent="0.25">
      <c r="A39" s="12">
        <v>2083</v>
      </c>
      <c r="B39" s="12">
        <v>118</v>
      </c>
      <c r="C39" s="1" t="s">
        <v>0</v>
      </c>
      <c r="D39" s="12">
        <v>12</v>
      </c>
      <c r="E39" s="12">
        <v>600</v>
      </c>
      <c r="F39" s="3">
        <v>7200</v>
      </c>
      <c r="G39" s="3">
        <v>750</v>
      </c>
      <c r="H39" s="3">
        <v>12</v>
      </c>
      <c r="I39" s="12">
        <f t="shared" si="6"/>
        <v>9000</v>
      </c>
      <c r="J39" s="12">
        <f t="shared" si="7"/>
        <v>7200</v>
      </c>
      <c r="K39" s="12">
        <f t="shared" si="8"/>
        <v>1800</v>
      </c>
      <c r="L39" s="12">
        <f t="shared" si="9"/>
        <v>0</v>
      </c>
      <c r="M39" s="12">
        <f t="shared" si="10"/>
        <v>0</v>
      </c>
      <c r="N39" s="12">
        <f>Table3[[#This Row],[unit_price]]-Table3[[#This Row],[unit_cost]]</f>
        <v>150</v>
      </c>
    </row>
    <row r="40" spans="1:14" x14ac:dyDescent="0.25">
      <c r="A40" s="12">
        <v>2083</v>
      </c>
      <c r="B40" s="12">
        <v>117</v>
      </c>
      <c r="C40" s="1" t="s">
        <v>18</v>
      </c>
      <c r="D40" s="12">
        <v>24</v>
      </c>
      <c r="E40" s="12">
        <v>150</v>
      </c>
      <c r="F40" s="3">
        <v>3600</v>
      </c>
      <c r="G40" s="3">
        <v>175</v>
      </c>
      <c r="H40" s="3">
        <v>24</v>
      </c>
      <c r="I40" s="12">
        <f t="shared" si="6"/>
        <v>4200</v>
      </c>
      <c r="J40" s="12">
        <f t="shared" si="7"/>
        <v>3600</v>
      </c>
      <c r="K40" s="12">
        <f t="shared" si="8"/>
        <v>600</v>
      </c>
      <c r="L40" s="12">
        <f t="shared" si="9"/>
        <v>0</v>
      </c>
      <c r="M40" s="12">
        <f t="shared" si="10"/>
        <v>0</v>
      </c>
      <c r="N40" s="12">
        <f>Table3[[#This Row],[unit_price]]-Table3[[#This Row],[unit_cost]]</f>
        <v>25</v>
      </c>
    </row>
    <row r="41" spans="1:14" x14ac:dyDescent="0.25">
      <c r="A41" s="12">
        <v>2083</v>
      </c>
      <c r="B41" s="12">
        <v>116</v>
      </c>
      <c r="C41" s="1" t="s">
        <v>32</v>
      </c>
      <c r="D41" s="12">
        <v>12</v>
      </c>
      <c r="E41" s="12">
        <v>650</v>
      </c>
      <c r="F41" s="3">
        <v>7800</v>
      </c>
      <c r="G41" s="3">
        <v>670</v>
      </c>
      <c r="H41" s="3">
        <v>12</v>
      </c>
      <c r="I41" s="12">
        <f t="shared" si="6"/>
        <v>8040</v>
      </c>
      <c r="J41" s="12">
        <f t="shared" si="7"/>
        <v>7800</v>
      </c>
      <c r="K41" s="12">
        <f t="shared" si="8"/>
        <v>240</v>
      </c>
      <c r="L41" s="12">
        <f t="shared" si="9"/>
        <v>0</v>
      </c>
      <c r="M41" s="12">
        <f t="shared" si="10"/>
        <v>0</v>
      </c>
      <c r="N41" s="12">
        <f>Table3[[#This Row],[unit_price]]-Table3[[#This Row],[unit_cost]]</f>
        <v>20</v>
      </c>
    </row>
    <row r="42" spans="1:14" x14ac:dyDescent="0.25">
      <c r="A42" s="12">
        <v>2122</v>
      </c>
      <c r="B42" s="12">
        <v>115</v>
      </c>
      <c r="C42" s="1" t="s">
        <v>10</v>
      </c>
      <c r="D42" s="12">
        <v>12</v>
      </c>
      <c r="E42" s="12">
        <v>650</v>
      </c>
      <c r="F42" s="12">
        <v>7800</v>
      </c>
      <c r="G42" s="3">
        <v>900</v>
      </c>
      <c r="H42" s="3">
        <v>12</v>
      </c>
      <c r="I42" s="12">
        <f t="shared" si="6"/>
        <v>10800</v>
      </c>
      <c r="J42" s="12">
        <f t="shared" si="7"/>
        <v>7800</v>
      </c>
      <c r="K42" s="12">
        <f t="shared" si="8"/>
        <v>3000</v>
      </c>
      <c r="L42" s="12">
        <f t="shared" si="9"/>
        <v>0</v>
      </c>
      <c r="M42" s="12">
        <f t="shared" si="10"/>
        <v>0</v>
      </c>
      <c r="N42" s="12">
        <f>Table3[[#This Row],[unit_price]]-Table3[[#This Row],[unit_cost]]</f>
        <v>250</v>
      </c>
    </row>
    <row r="43" spans="1:14" x14ac:dyDescent="0.25">
      <c r="A43" s="12">
        <v>2083</v>
      </c>
      <c r="B43" s="12">
        <v>115</v>
      </c>
      <c r="C43" s="1" t="s">
        <v>10</v>
      </c>
      <c r="D43" s="12">
        <v>12</v>
      </c>
      <c r="E43" s="12">
        <v>800</v>
      </c>
      <c r="F43" s="3">
        <v>9600</v>
      </c>
      <c r="G43" s="3">
        <v>825</v>
      </c>
      <c r="H43" s="3">
        <v>12</v>
      </c>
      <c r="I43" s="12">
        <f t="shared" si="6"/>
        <v>9900</v>
      </c>
      <c r="J43" s="12">
        <f t="shared" si="7"/>
        <v>9600</v>
      </c>
      <c r="K43" s="12">
        <f t="shared" si="8"/>
        <v>300</v>
      </c>
      <c r="L43" s="12">
        <f t="shared" si="9"/>
        <v>0</v>
      </c>
      <c r="M43" s="12">
        <f t="shared" si="10"/>
        <v>0</v>
      </c>
      <c r="N43" s="12">
        <f>Table3[[#This Row],[unit_price]]-Table3[[#This Row],[unit_cost]]</f>
        <v>25</v>
      </c>
    </row>
    <row r="44" spans="1:14" x14ac:dyDescent="0.25">
      <c r="A44" s="12">
        <v>2083</v>
      </c>
      <c r="B44" s="12">
        <v>114</v>
      </c>
      <c r="C44" s="1" t="s">
        <v>2</v>
      </c>
      <c r="D44" s="12">
        <v>12</v>
      </c>
      <c r="E44" s="12">
        <v>400</v>
      </c>
      <c r="F44" s="3">
        <v>4800</v>
      </c>
      <c r="G44" s="3">
        <v>400</v>
      </c>
      <c r="H44" s="3">
        <v>5</v>
      </c>
      <c r="I44" s="12">
        <f t="shared" si="6"/>
        <v>2000</v>
      </c>
      <c r="J44" s="12">
        <f t="shared" si="7"/>
        <v>2000</v>
      </c>
      <c r="K44" s="12">
        <f t="shared" si="8"/>
        <v>0</v>
      </c>
      <c r="L44" s="12">
        <f t="shared" si="9"/>
        <v>7</v>
      </c>
      <c r="M44" s="12">
        <f t="shared" si="10"/>
        <v>2800</v>
      </c>
      <c r="N44" s="12">
        <f>Table3[[#This Row],[unit_price]]-Table3[[#This Row],[unit_cost]]</f>
        <v>0</v>
      </c>
    </row>
    <row r="45" spans="1:14" x14ac:dyDescent="0.25">
      <c r="A45" s="12">
        <v>2083</v>
      </c>
      <c r="B45" s="12">
        <v>113</v>
      </c>
      <c r="C45" s="1" t="s">
        <v>33</v>
      </c>
      <c r="D45" s="12">
        <v>12</v>
      </c>
      <c r="E45" s="12">
        <v>250</v>
      </c>
      <c r="F45" s="3">
        <v>3000</v>
      </c>
      <c r="G45" s="3">
        <v>333</v>
      </c>
      <c r="H45" s="3">
        <v>5</v>
      </c>
      <c r="I45" s="12">
        <f t="shared" si="6"/>
        <v>1665</v>
      </c>
      <c r="J45" s="12">
        <f t="shared" si="7"/>
        <v>1250</v>
      </c>
      <c r="K45" s="12">
        <f t="shared" si="8"/>
        <v>415</v>
      </c>
      <c r="L45" s="12">
        <f t="shared" si="9"/>
        <v>7</v>
      </c>
      <c r="M45" s="12">
        <f t="shared" si="10"/>
        <v>1750</v>
      </c>
      <c r="N45" s="12">
        <f>Table3[[#This Row],[unit_price]]-Table3[[#This Row],[unit_cost]]</f>
        <v>83</v>
      </c>
    </row>
    <row r="46" spans="1:14" x14ac:dyDescent="0.25">
      <c r="A46" s="12">
        <v>2083</v>
      </c>
      <c r="B46" s="12">
        <v>112</v>
      </c>
      <c r="C46" s="1" t="s">
        <v>34</v>
      </c>
      <c r="D46" s="12">
        <v>12</v>
      </c>
      <c r="E46" s="12">
        <v>350</v>
      </c>
      <c r="F46" s="3">
        <v>4200</v>
      </c>
      <c r="G46" s="3">
        <v>400</v>
      </c>
      <c r="H46" s="3">
        <v>4</v>
      </c>
      <c r="I46" s="12">
        <f t="shared" si="6"/>
        <v>1600</v>
      </c>
      <c r="J46" s="12">
        <f t="shared" si="7"/>
        <v>1400</v>
      </c>
      <c r="K46" s="12">
        <f t="shared" si="8"/>
        <v>200</v>
      </c>
      <c r="L46" s="12">
        <f t="shared" si="9"/>
        <v>8</v>
      </c>
      <c r="M46" s="12">
        <f t="shared" si="10"/>
        <v>2800</v>
      </c>
      <c r="N46" s="12">
        <f>Table3[[#This Row],[unit_price]]-Table3[[#This Row],[unit_cost]]</f>
        <v>50</v>
      </c>
    </row>
    <row r="47" spans="1:14" x14ac:dyDescent="0.25">
      <c r="A47" s="12">
        <v>2083</v>
      </c>
      <c r="B47" s="12">
        <v>111</v>
      </c>
      <c r="C47" s="1" t="s">
        <v>4</v>
      </c>
      <c r="D47" s="12">
        <v>24</v>
      </c>
      <c r="E47" s="12">
        <v>400</v>
      </c>
      <c r="F47" s="3">
        <v>9600</v>
      </c>
      <c r="G47" s="3">
        <v>500</v>
      </c>
      <c r="H47" s="3">
        <v>7</v>
      </c>
      <c r="I47" s="12">
        <f t="shared" si="6"/>
        <v>3500</v>
      </c>
      <c r="J47" s="12">
        <f t="shared" si="7"/>
        <v>2800</v>
      </c>
      <c r="K47" s="12">
        <f t="shared" si="8"/>
        <v>700</v>
      </c>
      <c r="L47" s="12">
        <f t="shared" si="9"/>
        <v>17</v>
      </c>
      <c r="M47" s="12">
        <f t="shared" si="10"/>
        <v>6800</v>
      </c>
      <c r="N47" s="12">
        <f>Table3[[#This Row],[unit_price]]-Table3[[#This Row],[unit_cost]]</f>
        <v>100</v>
      </c>
    </row>
    <row r="48" spans="1:14" x14ac:dyDescent="0.25">
      <c r="A48" s="12">
        <v>2123</v>
      </c>
      <c r="B48" s="12">
        <v>110</v>
      </c>
      <c r="C48" s="1" t="s">
        <v>17</v>
      </c>
      <c r="D48" s="12">
        <v>2</v>
      </c>
      <c r="E48" s="12">
        <v>850</v>
      </c>
      <c r="F48" s="3">
        <f>D48*E48</f>
        <v>1700</v>
      </c>
      <c r="G48" s="3">
        <v>900</v>
      </c>
      <c r="H48" s="3">
        <v>2</v>
      </c>
      <c r="I48" s="12">
        <f t="shared" si="6"/>
        <v>1800</v>
      </c>
      <c r="J48" s="12">
        <f t="shared" si="7"/>
        <v>1700</v>
      </c>
      <c r="K48" s="12">
        <f t="shared" si="8"/>
        <v>100</v>
      </c>
      <c r="L48" s="12">
        <f t="shared" si="9"/>
        <v>0</v>
      </c>
      <c r="M48" s="12">
        <f t="shared" si="10"/>
        <v>0</v>
      </c>
      <c r="N48" s="12">
        <f>Table3[[#This Row],[unit_price]]-Table3[[#This Row],[unit_cost]]</f>
        <v>50</v>
      </c>
    </row>
    <row r="49" spans="1:14" x14ac:dyDescent="0.25">
      <c r="A49" s="12">
        <v>2122</v>
      </c>
      <c r="B49" s="12">
        <v>110</v>
      </c>
      <c r="C49" s="1" t="s">
        <v>17</v>
      </c>
      <c r="D49" s="12">
        <v>6</v>
      </c>
      <c r="E49" s="12">
        <v>850</v>
      </c>
      <c r="F49" s="12">
        <v>5100</v>
      </c>
      <c r="G49" s="3">
        <v>900</v>
      </c>
      <c r="H49" s="3">
        <v>6</v>
      </c>
      <c r="I49" s="12">
        <f t="shared" si="6"/>
        <v>5400</v>
      </c>
      <c r="J49" s="12">
        <f t="shared" si="7"/>
        <v>5100</v>
      </c>
      <c r="K49" s="12">
        <f t="shared" si="8"/>
        <v>300</v>
      </c>
      <c r="L49" s="12">
        <f t="shared" si="9"/>
        <v>0</v>
      </c>
      <c r="M49" s="12">
        <f t="shared" si="10"/>
        <v>0</v>
      </c>
      <c r="N49" s="12">
        <f>Table3[[#This Row],[unit_price]]-Table3[[#This Row],[unit_cost]]</f>
        <v>50</v>
      </c>
    </row>
    <row r="50" spans="1:14" x14ac:dyDescent="0.25">
      <c r="A50" s="12">
        <v>2083</v>
      </c>
      <c r="B50" s="12">
        <v>110</v>
      </c>
      <c r="C50" s="1" t="s">
        <v>17</v>
      </c>
      <c r="D50" s="12">
        <v>6</v>
      </c>
      <c r="E50" s="12">
        <v>850</v>
      </c>
      <c r="F50" s="3">
        <v>5100</v>
      </c>
      <c r="G50" s="3">
        <v>900</v>
      </c>
      <c r="H50" s="3">
        <v>6</v>
      </c>
      <c r="I50" s="12">
        <f t="shared" si="6"/>
        <v>5400</v>
      </c>
      <c r="J50" s="12">
        <f t="shared" si="7"/>
        <v>5100</v>
      </c>
      <c r="K50" s="12">
        <f t="shared" si="8"/>
        <v>300</v>
      </c>
      <c r="L50" s="12">
        <f t="shared" si="9"/>
        <v>0</v>
      </c>
      <c r="M50" s="12">
        <f t="shared" si="10"/>
        <v>0</v>
      </c>
      <c r="N50" s="12">
        <f>Table3[[#This Row],[unit_price]]-Table3[[#This Row],[unit_cost]]</f>
        <v>50</v>
      </c>
    </row>
    <row r="51" spans="1:14" x14ac:dyDescent="0.25">
      <c r="A51" s="12">
        <v>2083</v>
      </c>
      <c r="B51" s="12">
        <v>109</v>
      </c>
      <c r="C51" s="1" t="s">
        <v>36</v>
      </c>
      <c r="D51" s="12">
        <v>1</v>
      </c>
      <c r="E51" s="12">
        <v>200</v>
      </c>
      <c r="F51" s="3">
        <v>200</v>
      </c>
      <c r="G51" s="3">
        <v>400</v>
      </c>
      <c r="H51" s="3">
        <v>1</v>
      </c>
      <c r="I51" s="12">
        <f t="shared" si="6"/>
        <v>400</v>
      </c>
      <c r="J51" s="12">
        <f t="shared" si="7"/>
        <v>200</v>
      </c>
      <c r="K51" s="12">
        <f t="shared" si="8"/>
        <v>200</v>
      </c>
      <c r="L51" s="12">
        <f t="shared" si="9"/>
        <v>0</v>
      </c>
      <c r="M51" s="12">
        <f t="shared" si="10"/>
        <v>0</v>
      </c>
      <c r="N51" s="12">
        <f>Table3[[#This Row],[unit_price]]-Table3[[#This Row],[unit_cost]]</f>
        <v>200</v>
      </c>
    </row>
    <row r="52" spans="1:14" x14ac:dyDescent="0.25">
      <c r="A52" s="12">
        <v>2083</v>
      </c>
      <c r="B52" s="12">
        <v>108</v>
      </c>
      <c r="C52" s="1" t="s">
        <v>9</v>
      </c>
      <c r="D52" s="12">
        <v>1</v>
      </c>
      <c r="E52" s="12">
        <v>500</v>
      </c>
      <c r="F52" s="3">
        <v>500</v>
      </c>
      <c r="G52" s="3">
        <v>500</v>
      </c>
      <c r="H52" s="3">
        <v>1</v>
      </c>
      <c r="I52" s="12">
        <f t="shared" si="6"/>
        <v>500</v>
      </c>
      <c r="J52" s="12">
        <f t="shared" si="7"/>
        <v>500</v>
      </c>
      <c r="K52" s="12">
        <f t="shared" si="8"/>
        <v>0</v>
      </c>
      <c r="L52" s="12">
        <f t="shared" si="9"/>
        <v>0</v>
      </c>
      <c r="M52" s="12">
        <f t="shared" si="10"/>
        <v>0</v>
      </c>
      <c r="N52" s="12">
        <f>Table3[[#This Row],[unit_price]]-Table3[[#This Row],[unit_cost]]</f>
        <v>0</v>
      </c>
    </row>
    <row r="53" spans="1:14" x14ac:dyDescent="0.25">
      <c r="A53" s="12">
        <v>2083</v>
      </c>
      <c r="B53" s="12">
        <v>107</v>
      </c>
      <c r="C53" s="1" t="s">
        <v>8</v>
      </c>
      <c r="D53" s="12">
        <v>1</v>
      </c>
      <c r="E53" s="12">
        <v>500</v>
      </c>
      <c r="F53" s="3">
        <v>500</v>
      </c>
      <c r="G53" s="3">
        <v>550</v>
      </c>
      <c r="H53" s="3">
        <v>1</v>
      </c>
      <c r="I53" s="12">
        <f t="shared" si="6"/>
        <v>550</v>
      </c>
      <c r="J53" s="12">
        <f t="shared" si="7"/>
        <v>500</v>
      </c>
      <c r="K53" s="12">
        <f t="shared" si="8"/>
        <v>50</v>
      </c>
      <c r="L53" s="12">
        <f t="shared" si="9"/>
        <v>0</v>
      </c>
      <c r="M53" s="12">
        <f t="shared" si="10"/>
        <v>0</v>
      </c>
      <c r="N53" s="12">
        <f>Table3[[#This Row],[unit_price]]-Table3[[#This Row],[unit_cost]]</f>
        <v>50</v>
      </c>
    </row>
    <row r="54" spans="1:14" x14ac:dyDescent="0.25">
      <c r="A54" s="12">
        <v>2083</v>
      </c>
      <c r="B54" s="12">
        <v>106</v>
      </c>
      <c r="C54" s="1" t="s">
        <v>29</v>
      </c>
      <c r="D54" s="12">
        <v>24</v>
      </c>
      <c r="E54" s="12">
        <v>350</v>
      </c>
      <c r="F54" s="3">
        <v>8400</v>
      </c>
      <c r="G54" s="3">
        <v>400</v>
      </c>
      <c r="H54" s="3">
        <v>6</v>
      </c>
      <c r="I54" s="12">
        <f t="shared" si="6"/>
        <v>2400</v>
      </c>
      <c r="J54" s="12">
        <f t="shared" si="7"/>
        <v>2100</v>
      </c>
      <c r="K54" s="12">
        <f t="shared" si="8"/>
        <v>300</v>
      </c>
      <c r="L54" s="12">
        <f t="shared" si="9"/>
        <v>18</v>
      </c>
      <c r="M54" s="12">
        <f t="shared" si="10"/>
        <v>6300</v>
      </c>
      <c r="N54" s="12">
        <f>Table3[[#This Row],[unit_price]]-Table3[[#This Row],[unit_cost]]</f>
        <v>50</v>
      </c>
    </row>
    <row r="55" spans="1:14" x14ac:dyDescent="0.25">
      <c r="A55" s="12">
        <v>2083</v>
      </c>
      <c r="B55" s="12">
        <v>105</v>
      </c>
      <c r="C55" s="1" t="s">
        <v>3</v>
      </c>
      <c r="D55" s="12">
        <v>12</v>
      </c>
      <c r="E55" s="12">
        <v>250</v>
      </c>
      <c r="F55" s="3">
        <v>3000</v>
      </c>
      <c r="G55" s="3">
        <v>333</v>
      </c>
      <c r="H55" s="3">
        <v>5</v>
      </c>
      <c r="I55" s="12">
        <f t="shared" si="6"/>
        <v>1665</v>
      </c>
      <c r="J55" s="12">
        <f t="shared" si="7"/>
        <v>1250</v>
      </c>
      <c r="K55" s="12">
        <f t="shared" si="8"/>
        <v>415</v>
      </c>
      <c r="L55" s="12">
        <f t="shared" si="9"/>
        <v>7</v>
      </c>
      <c r="M55" s="12">
        <f t="shared" si="10"/>
        <v>1750</v>
      </c>
      <c r="N55" s="12">
        <f>Table3[[#This Row],[unit_price]]-Table3[[#This Row],[unit_cost]]</f>
        <v>83</v>
      </c>
    </row>
    <row r="56" spans="1:14" x14ac:dyDescent="0.25">
      <c r="A56" s="12">
        <v>2083</v>
      </c>
      <c r="B56" s="12">
        <v>104</v>
      </c>
      <c r="C56" s="1" t="s">
        <v>28</v>
      </c>
      <c r="D56" s="12">
        <v>1</v>
      </c>
      <c r="E56" s="13">
        <v>2200</v>
      </c>
      <c r="F56" s="3">
        <v>2200</v>
      </c>
      <c r="G56" s="3">
        <v>2500</v>
      </c>
      <c r="H56" s="3">
        <v>0</v>
      </c>
      <c r="I56" s="12">
        <f t="shared" si="6"/>
        <v>0</v>
      </c>
      <c r="J56" s="12">
        <f t="shared" si="7"/>
        <v>0</v>
      </c>
      <c r="K56" s="12">
        <f t="shared" si="8"/>
        <v>0</v>
      </c>
      <c r="L56" s="12">
        <f t="shared" si="9"/>
        <v>1</v>
      </c>
      <c r="M56" s="12">
        <f t="shared" si="10"/>
        <v>2200</v>
      </c>
      <c r="N56" s="12">
        <f>Table3[[#This Row],[unit_price]]-Table3[[#This Row],[unit_cost]]</f>
        <v>300</v>
      </c>
    </row>
    <row r="57" spans="1:14" x14ac:dyDescent="0.25">
      <c r="A57" s="12">
        <v>2083</v>
      </c>
      <c r="B57" s="12">
        <v>103</v>
      </c>
      <c r="C57" s="1" t="s">
        <v>11</v>
      </c>
      <c r="D57" s="12">
        <v>1</v>
      </c>
      <c r="E57" s="13">
        <v>5600</v>
      </c>
      <c r="F57" s="3">
        <v>5600</v>
      </c>
      <c r="G57" s="3">
        <v>6000</v>
      </c>
      <c r="H57" s="3">
        <v>1</v>
      </c>
      <c r="I57" s="12">
        <f t="shared" si="6"/>
        <v>6000</v>
      </c>
      <c r="J57" s="12">
        <f t="shared" si="7"/>
        <v>5600</v>
      </c>
      <c r="K57" s="12">
        <f t="shared" si="8"/>
        <v>400</v>
      </c>
      <c r="L57" s="12">
        <f t="shared" si="9"/>
        <v>0</v>
      </c>
      <c r="M57" s="12">
        <f t="shared" si="10"/>
        <v>0</v>
      </c>
      <c r="N57" s="12">
        <f>Table3[[#This Row],[unit_price]]-Table3[[#This Row],[unit_cost]]</f>
        <v>400</v>
      </c>
    </row>
    <row r="58" spans="1:14" x14ac:dyDescent="0.25">
      <c r="A58" s="12">
        <v>2083</v>
      </c>
      <c r="B58" s="12">
        <v>102</v>
      </c>
      <c r="C58" s="1" t="s">
        <v>22</v>
      </c>
      <c r="D58" s="12">
        <v>48</v>
      </c>
      <c r="E58" s="12">
        <v>100</v>
      </c>
      <c r="F58" s="3">
        <v>4800</v>
      </c>
      <c r="G58" s="3">
        <v>105</v>
      </c>
      <c r="H58" s="3">
        <v>0</v>
      </c>
      <c r="I58" s="12">
        <f t="shared" si="6"/>
        <v>0</v>
      </c>
      <c r="J58" s="12">
        <f t="shared" si="7"/>
        <v>0</v>
      </c>
      <c r="K58" s="12">
        <f t="shared" si="8"/>
        <v>0</v>
      </c>
      <c r="L58" s="12">
        <f t="shared" si="9"/>
        <v>48</v>
      </c>
      <c r="M58" s="12">
        <f t="shared" si="10"/>
        <v>4800</v>
      </c>
      <c r="N58" s="12">
        <f>Table3[[#This Row],[unit_price]]-Table3[[#This Row],[unit_cost]]</f>
        <v>5</v>
      </c>
    </row>
    <row r="59" spans="1:14" x14ac:dyDescent="0.25">
      <c r="A59" s="12">
        <v>2083</v>
      </c>
      <c r="B59" s="12">
        <v>101</v>
      </c>
      <c r="C59" s="1" t="s">
        <v>19</v>
      </c>
      <c r="D59" s="12">
        <v>12</v>
      </c>
      <c r="E59" s="12">
        <v>400</v>
      </c>
      <c r="F59" s="3">
        <v>4800</v>
      </c>
      <c r="G59" s="3">
        <v>400</v>
      </c>
      <c r="H59" s="3">
        <v>4</v>
      </c>
      <c r="I59" s="12">
        <f t="shared" si="6"/>
        <v>1600</v>
      </c>
      <c r="J59" s="12">
        <f t="shared" si="7"/>
        <v>1600</v>
      </c>
      <c r="K59" s="12">
        <f t="shared" si="8"/>
        <v>0</v>
      </c>
      <c r="L59" s="12">
        <f t="shared" si="9"/>
        <v>8</v>
      </c>
      <c r="M59" s="12">
        <f t="shared" si="10"/>
        <v>3200</v>
      </c>
      <c r="N59" s="12">
        <f>Table3[[#This Row],[unit_price]]-Table3[[#This Row],[unit_cost]]</f>
        <v>0</v>
      </c>
    </row>
    <row r="62" spans="1:14" x14ac:dyDescent="0.25">
      <c r="F62" s="12"/>
      <c r="I62" s="12"/>
      <c r="J62" s="12"/>
    </row>
    <row r="63" spans="1:14" x14ac:dyDescent="0.25">
      <c r="F63" s="12"/>
      <c r="I63" s="12"/>
      <c r="J63" s="12"/>
    </row>
    <row r="64" spans="1:14" x14ac:dyDescent="0.25">
      <c r="F64" s="12"/>
      <c r="I64" s="12"/>
      <c r="J64" s="12"/>
    </row>
    <row r="65" spans="6:10" x14ac:dyDescent="0.25">
      <c r="F65" s="12"/>
      <c r="I65" s="12"/>
      <c r="J65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F156-1636-4083-87E5-EC44AFC26AA9}">
  <dimension ref="A1:J502"/>
  <sheetViews>
    <sheetView rightToLeft="1" workbookViewId="0">
      <selection activeCell="E6" sqref="E6"/>
    </sheetView>
  </sheetViews>
  <sheetFormatPr defaultRowHeight="15" x14ac:dyDescent="0.25"/>
  <cols>
    <col min="1" max="1" width="11" customWidth="1"/>
    <col min="2" max="2" width="11" style="10" customWidth="1"/>
    <col min="3" max="3" width="17.5703125" style="10" bestFit="1" customWidth="1"/>
    <col min="4" max="4" width="11" style="12" customWidth="1"/>
    <col min="5" max="5" width="37.28515625" bestFit="1" customWidth="1"/>
    <col min="7" max="7" width="11.7109375" customWidth="1"/>
    <col min="8" max="8" width="9.28515625" customWidth="1"/>
  </cols>
  <sheetData>
    <row r="1" spans="1:10" x14ac:dyDescent="0.25">
      <c r="A1" t="s">
        <v>80</v>
      </c>
      <c r="B1" s="10" t="s">
        <v>81</v>
      </c>
      <c r="C1" s="10" t="s">
        <v>82</v>
      </c>
      <c r="D1" s="12" t="s">
        <v>83</v>
      </c>
      <c r="E1" t="s">
        <v>68</v>
      </c>
      <c r="F1" t="s">
        <v>72</v>
      </c>
      <c r="G1" t="s">
        <v>71</v>
      </c>
      <c r="H1" t="s">
        <v>69</v>
      </c>
    </row>
    <row r="2" spans="1:10" x14ac:dyDescent="0.25">
      <c r="A2">
        <v>1</v>
      </c>
      <c r="B2" s="10">
        <v>1001</v>
      </c>
      <c r="C2" s="10" t="s">
        <v>60</v>
      </c>
      <c r="D2" s="12">
        <v>127</v>
      </c>
      <c r="E2" s="1" t="str">
        <f>VLOOKUP(D2, Home!$B$2:$C$100, 2, FALSE)</f>
        <v>لعاب صابون فقاعات حروف انجليزيه MR-A93</v>
      </c>
      <c r="F2">
        <v>48</v>
      </c>
      <c r="G2" s="10">
        <f>VLOOKUP(D2, Home!$B$2:$G$1002, 6, FALSE)</f>
        <v>45</v>
      </c>
      <c r="H2">
        <f>F2*G2</f>
        <v>2160</v>
      </c>
    </row>
    <row r="3" spans="1:10" x14ac:dyDescent="0.25">
      <c r="A3" s="10">
        <v>1</v>
      </c>
      <c r="B3" s="10">
        <v>1001</v>
      </c>
      <c r="C3" s="10" t="s">
        <v>60</v>
      </c>
      <c r="D3" s="12">
        <v>117</v>
      </c>
      <c r="E3" s="1" t="str">
        <f>VLOOKUP(D3, Home!$B$2:$C$100, 2, FALSE)</f>
        <v>شموع ضوئيه بلاستيكيه صغيره MR-A20</v>
      </c>
      <c r="F3">
        <v>24</v>
      </c>
      <c r="G3" s="10">
        <f>VLOOKUP(D3, Home!$B$2:$G$1002, 6, FALSE)</f>
        <v>175</v>
      </c>
      <c r="H3" s="10">
        <f t="shared" ref="H3:H22" si="0">F3*G3</f>
        <v>4200</v>
      </c>
    </row>
    <row r="4" spans="1:10" x14ac:dyDescent="0.25">
      <c r="A4" s="10">
        <v>1</v>
      </c>
      <c r="B4" s="10">
        <v>1001</v>
      </c>
      <c r="C4" s="10" t="s">
        <v>60</v>
      </c>
      <c r="D4" s="12">
        <v>115</v>
      </c>
      <c r="E4" s="1" t="str">
        <f>VLOOKUP(D4, Home!$B$2:$C$100, 2, FALSE)</f>
        <v>شرابات صحية قطن طبيعي لمرضى السكر - ٩٢٤</v>
      </c>
      <c r="F4">
        <v>6</v>
      </c>
      <c r="G4" s="10">
        <f>VLOOKUP(D4, Home!$B$2:$G$1002, 6, FALSE)</f>
        <v>900</v>
      </c>
      <c r="H4" s="10">
        <f t="shared" si="0"/>
        <v>5400</v>
      </c>
    </row>
    <row r="5" spans="1:10" x14ac:dyDescent="0.25">
      <c r="A5" s="10">
        <v>1</v>
      </c>
      <c r="B5" s="10">
        <v>1001</v>
      </c>
      <c r="C5" s="10" t="s">
        <v>60</v>
      </c>
      <c r="D5" s="12">
        <v>138</v>
      </c>
      <c r="E5" s="1" t="str">
        <f>VLOOKUP(D5, Home!$B$2:$C$100, 2, FALSE)</f>
        <v>منشفه مضغوطه للاستخدام مره واحده ١*٢٠ حبه -</v>
      </c>
      <c r="F5">
        <v>1</v>
      </c>
      <c r="G5" s="10">
        <f>VLOOKUP(D5, Home!$B$2:$G$1002, 6, FALSE)</f>
        <v>500</v>
      </c>
      <c r="H5" s="10">
        <f t="shared" si="0"/>
        <v>500</v>
      </c>
    </row>
    <row r="6" spans="1:10" x14ac:dyDescent="0.25">
      <c r="A6" s="10">
        <v>1</v>
      </c>
      <c r="B6" s="10">
        <v>1001</v>
      </c>
      <c r="C6" s="10" t="s">
        <v>60</v>
      </c>
      <c r="D6" s="12">
        <v>126</v>
      </c>
      <c r="E6" s="1" t="str">
        <f>VLOOKUP(D6, Home!$B$2:$C$100, 2, FALSE)</f>
        <v>كوب زجاج كبير غطاء خشبي MR-214</v>
      </c>
      <c r="F6">
        <v>1</v>
      </c>
      <c r="G6" s="10">
        <f>VLOOKUP(D6, Home!$B$2:$G$1002, 6, FALSE)</f>
        <v>900</v>
      </c>
      <c r="H6" s="10">
        <f t="shared" si="0"/>
        <v>900</v>
      </c>
    </row>
    <row r="7" spans="1:10" x14ac:dyDescent="0.25">
      <c r="A7" s="10">
        <v>1</v>
      </c>
      <c r="B7" s="10">
        <v>1001</v>
      </c>
      <c r="C7" s="10" t="s">
        <v>60</v>
      </c>
      <c r="D7" s="12">
        <v>125</v>
      </c>
      <c r="E7" s="1" t="str">
        <f>VLOOKUP(D7, Home!$B$2:$C$100, 2, FALSE)</f>
        <v>كوب زجاج كبير عطاء كشبي MR-215</v>
      </c>
      <c r="F7">
        <v>1</v>
      </c>
      <c r="G7" s="10">
        <f>VLOOKUP(D7, Home!$B$2:$G$1002, 6, FALSE)</f>
        <v>900</v>
      </c>
      <c r="H7" s="10">
        <f t="shared" si="0"/>
        <v>900</v>
      </c>
    </row>
    <row r="8" spans="1:10" x14ac:dyDescent="0.25">
      <c r="A8" s="10">
        <v>1</v>
      </c>
      <c r="B8" s="10">
        <v>1001</v>
      </c>
      <c r="C8" s="10" t="s">
        <v>60</v>
      </c>
      <c r="D8" s="12">
        <v>124</v>
      </c>
      <c r="E8" s="1" t="str">
        <f>VLOOKUP(D8, Home!$B$2:$C$100, 2, FALSE)</f>
        <v>كوب خلاط كايتشينو ٣٢١٥</v>
      </c>
      <c r="F8">
        <v>1</v>
      </c>
      <c r="G8" s="10">
        <f>VLOOKUP(D8, Home!$B$2:$G$1002, 6, FALSE)</f>
        <v>950</v>
      </c>
      <c r="H8" s="10">
        <f t="shared" si="0"/>
        <v>950</v>
      </c>
    </row>
    <row r="9" spans="1:10" x14ac:dyDescent="0.25">
      <c r="A9" s="10">
        <v>1</v>
      </c>
      <c r="B9" s="10">
        <v>1001</v>
      </c>
      <c r="C9" s="10" t="s">
        <v>60</v>
      </c>
      <c r="D9" s="12">
        <v>110</v>
      </c>
      <c r="E9" s="1" t="str">
        <f>VLOOKUP(D9, Home!$B$2:$C$100, 2, FALSE)</f>
        <v>حافظه استيل حساس رقمي ٥٠٠ مل MR-</v>
      </c>
      <c r="F9">
        <v>6</v>
      </c>
      <c r="G9" s="10">
        <f>VLOOKUP(D9, Home!$B$2:$G$1002, 6, FALSE)</f>
        <v>900</v>
      </c>
      <c r="H9" s="10">
        <f t="shared" si="0"/>
        <v>5400</v>
      </c>
    </row>
    <row r="10" spans="1:10" x14ac:dyDescent="0.25">
      <c r="A10" s="10">
        <v>1</v>
      </c>
      <c r="B10" s="10">
        <v>1001</v>
      </c>
      <c r="C10" s="10" t="s">
        <v>60</v>
      </c>
      <c r="D10" s="12">
        <v>118</v>
      </c>
      <c r="E10" s="1" t="str">
        <f>VLOOKUP(D10, Home!$B$2:$C$100, 2, FALSE)</f>
        <v>صنادل منزليه MR-131</v>
      </c>
      <c r="F10">
        <v>2</v>
      </c>
      <c r="G10" s="10">
        <f>VLOOKUP(D10, Home!$B$2:$G$1002, 6, FALSE)</f>
        <v>750</v>
      </c>
      <c r="H10" s="10">
        <f t="shared" si="0"/>
        <v>1500</v>
      </c>
    </row>
    <row r="11" spans="1:10" x14ac:dyDescent="0.25">
      <c r="A11" s="10">
        <v>1</v>
      </c>
      <c r="B11" s="10">
        <v>1001</v>
      </c>
      <c r="C11" s="10" t="s">
        <v>60</v>
      </c>
      <c r="D11" s="12">
        <v>119</v>
      </c>
      <c r="E11" s="1" t="str">
        <f>VLOOKUP(D11, Home!$B$2:$C$100, 2, FALSE)</f>
        <v xml:space="preserve">صنادل منزليه نسائي فرو ازرق +لبني </v>
      </c>
      <c r="F11">
        <v>1</v>
      </c>
      <c r="G11" s="10">
        <f>VLOOKUP(D11, Home!$B$2:$G$1002, 6, FALSE)</f>
        <v>900</v>
      </c>
      <c r="H11" s="10">
        <f t="shared" si="0"/>
        <v>900</v>
      </c>
    </row>
    <row r="12" spans="1:10" x14ac:dyDescent="0.25">
      <c r="A12" s="10">
        <v>1</v>
      </c>
      <c r="B12" s="10">
        <v>1001</v>
      </c>
      <c r="C12" s="10" t="s">
        <v>60</v>
      </c>
      <c r="D12" s="12">
        <v>132</v>
      </c>
      <c r="E12" s="1" t="str">
        <f>VLOOKUP(D12, Home!$B$2:$C$100, 2, FALSE)</f>
        <v>لعبه يورو بحر ٤٠٠</v>
      </c>
      <c r="F12">
        <v>12</v>
      </c>
      <c r="G12" s="10">
        <f>VLOOKUP(D12, Home!$B$2:$G$1002, 6, FALSE)</f>
        <v>300</v>
      </c>
      <c r="H12" s="10">
        <f t="shared" si="0"/>
        <v>3600</v>
      </c>
    </row>
    <row r="13" spans="1:10" x14ac:dyDescent="0.25">
      <c r="A13" s="10">
        <v>1</v>
      </c>
      <c r="B13" s="10">
        <v>1001</v>
      </c>
      <c r="C13" s="10" t="s">
        <v>60</v>
      </c>
      <c r="D13" s="12">
        <v>121</v>
      </c>
      <c r="E13" s="1" t="str">
        <f>VLOOKUP(D13, Home!$B$2:$C$100, 2, FALSE)</f>
        <v>عبة سيارات سباق مرتفع MR-96</v>
      </c>
      <c r="F13">
        <v>5</v>
      </c>
      <c r="G13" s="10">
        <f>VLOOKUP(D13, Home!$B$2:$G$1002, 6, FALSE)</f>
        <v>470</v>
      </c>
      <c r="H13" s="10">
        <f t="shared" si="0"/>
        <v>2350</v>
      </c>
    </row>
    <row r="14" spans="1:10" x14ac:dyDescent="0.25">
      <c r="A14" s="10">
        <v>1</v>
      </c>
      <c r="B14" s="10">
        <v>1001</v>
      </c>
      <c r="C14" s="10" t="s">
        <v>60</v>
      </c>
      <c r="D14" s="12">
        <v>128</v>
      </c>
      <c r="E14" s="1" t="str">
        <f>VLOOKUP(D14, Home!$B$2:$C$100, 2, FALSE)</f>
        <v>لعبة الغاز OMG طرد ٢٥٠</v>
      </c>
      <c r="F14">
        <v>4</v>
      </c>
      <c r="G14" s="10">
        <f>VLOOKUP(D14, Home!$B$2:$G$1002, 6, FALSE)</f>
        <v>470</v>
      </c>
      <c r="H14" s="10">
        <f t="shared" si="0"/>
        <v>1880</v>
      </c>
      <c r="I14">
        <f>SUM(H2:H14)</f>
        <v>30640</v>
      </c>
    </row>
    <row r="15" spans="1:10" x14ac:dyDescent="0.25">
      <c r="A15">
        <v>2</v>
      </c>
      <c r="B15" s="10">
        <v>1010</v>
      </c>
      <c r="C15" s="15" t="s">
        <v>39</v>
      </c>
      <c r="D15" s="12">
        <v>127</v>
      </c>
      <c r="E15" s="1" t="str">
        <f>VLOOKUP(D15, Home!$B$2:$C$100, 2, FALSE)</f>
        <v>لعاب صابون فقاعات حروف انجليزيه MR-A93</v>
      </c>
      <c r="F15">
        <v>48</v>
      </c>
      <c r="G15" s="10">
        <f>VLOOKUP(D15, Home!$B$2:$G$1002, 6, FALSE)</f>
        <v>45</v>
      </c>
      <c r="H15" s="10">
        <f t="shared" si="0"/>
        <v>2160</v>
      </c>
      <c r="J15" s="10"/>
    </row>
    <row r="16" spans="1:10" x14ac:dyDescent="0.25">
      <c r="A16" s="10">
        <v>2</v>
      </c>
      <c r="B16" s="10">
        <v>1010</v>
      </c>
      <c r="C16" s="15" t="s">
        <v>39</v>
      </c>
      <c r="D16" s="12">
        <v>138</v>
      </c>
      <c r="E16" s="1" t="str">
        <f>VLOOKUP(D16, Home!$B$2:$C$100, 2, FALSE)</f>
        <v>منشفه مضغوطه للاستخدام مره واحده ١*٢٠ حبه -</v>
      </c>
      <c r="F16">
        <v>1</v>
      </c>
      <c r="G16" s="10">
        <f>VLOOKUP(D16, Home!$B$2:$G$1002, 6, FALSE)</f>
        <v>500</v>
      </c>
      <c r="H16" s="10">
        <f t="shared" si="0"/>
        <v>500</v>
      </c>
      <c r="I16">
        <v>2900</v>
      </c>
    </row>
    <row r="17" spans="1:9" x14ac:dyDescent="0.25">
      <c r="A17">
        <v>3</v>
      </c>
      <c r="B17" s="10">
        <v>1002</v>
      </c>
      <c r="C17" s="10" t="s">
        <v>40</v>
      </c>
      <c r="D17" s="12">
        <v>127</v>
      </c>
      <c r="E17" s="1" t="str">
        <f>VLOOKUP(D17, Home!$B$2:$C$100, 2, FALSE)</f>
        <v>لعاب صابون فقاعات حروف انجليزيه MR-A93</v>
      </c>
      <c r="F17">
        <v>48</v>
      </c>
      <c r="G17" s="10">
        <f>VLOOKUP(D17, Home!$B$2:$G$1002, 6, FALSE)</f>
        <v>45</v>
      </c>
      <c r="H17" s="10">
        <f t="shared" si="0"/>
        <v>2160</v>
      </c>
    </row>
    <row r="18" spans="1:9" x14ac:dyDescent="0.25">
      <c r="A18" s="10">
        <v>3</v>
      </c>
      <c r="B18" s="10">
        <v>1002</v>
      </c>
      <c r="C18" s="10" t="s">
        <v>40</v>
      </c>
      <c r="D18" s="12">
        <v>133</v>
      </c>
      <c r="E18" s="1" t="str">
        <f>VLOOKUP(D18, Home!$B$2:$C$100, 2, FALSE)</f>
        <v>لوح العاب مغناطيس CT8001 30*1 رقم ٢٤٨</v>
      </c>
      <c r="F18">
        <v>1</v>
      </c>
      <c r="G18" s="10">
        <f>VLOOKUP(D18, Home!$B$2:$G$1002, 6, FALSE)</f>
        <v>1000</v>
      </c>
      <c r="H18" s="10">
        <f t="shared" si="0"/>
        <v>1000</v>
      </c>
    </row>
    <row r="19" spans="1:9" x14ac:dyDescent="0.25">
      <c r="A19" s="10">
        <v>3</v>
      </c>
      <c r="B19" s="10">
        <v>1002</v>
      </c>
      <c r="C19" s="10" t="s">
        <v>40</v>
      </c>
      <c r="D19" s="12">
        <v>138</v>
      </c>
      <c r="E19" s="1" t="str">
        <f>VLOOKUP(D19, Home!$B$2:$C$100, 2, FALSE)</f>
        <v>منشفه مضغوطه للاستخدام مره واحده ١*٢٠ حبه -</v>
      </c>
      <c r="F19">
        <v>1</v>
      </c>
      <c r="G19" s="10">
        <f>VLOOKUP(D19, Home!$B$2:$G$1002, 6, FALSE)</f>
        <v>500</v>
      </c>
      <c r="H19" s="10">
        <f t="shared" si="0"/>
        <v>500</v>
      </c>
      <c r="I19">
        <f>SUM(H17:H19)</f>
        <v>3660</v>
      </c>
    </row>
    <row r="20" spans="1:9" x14ac:dyDescent="0.25">
      <c r="A20">
        <v>4</v>
      </c>
      <c r="B20" s="10">
        <v>1002</v>
      </c>
      <c r="C20" s="10" t="s">
        <v>40</v>
      </c>
      <c r="D20" s="12">
        <v>133</v>
      </c>
      <c r="E20" s="1" t="str">
        <f>VLOOKUP(D20, Home!$B$2:$C$100, 2, FALSE)</f>
        <v>لوح العاب مغناطيس CT8001 30*1 رقم ٢٤٨</v>
      </c>
      <c r="F20">
        <v>1</v>
      </c>
      <c r="G20" s="10">
        <f>VLOOKUP(D20, Home!$B$2:$G$1002, 6, FALSE)</f>
        <v>1000</v>
      </c>
      <c r="H20" s="10">
        <f t="shared" si="0"/>
        <v>1000</v>
      </c>
      <c r="I20">
        <v>1000</v>
      </c>
    </row>
    <row r="21" spans="1:9" x14ac:dyDescent="0.25">
      <c r="A21">
        <v>5</v>
      </c>
      <c r="B21" s="10">
        <v>1002</v>
      </c>
      <c r="C21" s="10" t="s">
        <v>40</v>
      </c>
      <c r="D21" s="12">
        <v>133</v>
      </c>
      <c r="E21" s="1" t="str">
        <f>VLOOKUP(D21, Home!$B$2:$C$100, 2, FALSE)</f>
        <v>لوح العاب مغناطيس CT8001 30*1 رقم ٢٤٨</v>
      </c>
      <c r="F21">
        <v>1</v>
      </c>
      <c r="G21" s="10">
        <f>VLOOKUP(D21, Home!$B$2:$G$1002, 6, FALSE)</f>
        <v>1000</v>
      </c>
      <c r="H21" s="10">
        <f t="shared" si="0"/>
        <v>1000</v>
      </c>
      <c r="I21">
        <v>1000</v>
      </c>
    </row>
    <row r="22" spans="1:9" x14ac:dyDescent="0.25">
      <c r="A22">
        <v>6</v>
      </c>
      <c r="B22" s="10">
        <v>1011</v>
      </c>
      <c r="C22" s="15" t="s">
        <v>41</v>
      </c>
      <c r="D22" s="12">
        <v>109</v>
      </c>
      <c r="E22" s="1" t="str">
        <f>VLOOKUP(D22, Home!$B$2:$C$100, 2, FALSE)</f>
        <v>جلاس تلفونات جداري ١١٢</v>
      </c>
      <c r="F22">
        <v>1</v>
      </c>
      <c r="G22" s="10">
        <f>VLOOKUP(D22, Home!$B$2:$G$1002, 6, FALSE)</f>
        <v>400</v>
      </c>
      <c r="H22" s="10">
        <f t="shared" si="0"/>
        <v>400</v>
      </c>
      <c r="I22">
        <v>400</v>
      </c>
    </row>
    <row r="23" spans="1:9" x14ac:dyDescent="0.25">
      <c r="A23">
        <v>7</v>
      </c>
      <c r="B23" s="10">
        <v>1000</v>
      </c>
      <c r="C23" s="10" t="s">
        <v>42</v>
      </c>
      <c r="D23" s="12">
        <v>115</v>
      </c>
      <c r="E23" s="1" t="str">
        <f>VLOOKUP(D23, Home!$B$2:$C$100, 2, FALSE)</f>
        <v>شرابات صحية قطن طبيعي لمرضى السكر - ٩٢٤</v>
      </c>
      <c r="F23">
        <v>1</v>
      </c>
      <c r="G23" s="10">
        <f>VLOOKUP(D23, Home!$B$2:$G$1002, 6, FALSE)</f>
        <v>900</v>
      </c>
      <c r="H23" s="10">
        <f t="shared" ref="H23:H31" si="1">F23*G23</f>
        <v>900</v>
      </c>
    </row>
    <row r="24" spans="1:9" x14ac:dyDescent="0.25">
      <c r="A24" s="10">
        <v>7</v>
      </c>
      <c r="B24" s="10">
        <v>1000</v>
      </c>
      <c r="C24" s="10" t="s">
        <v>42</v>
      </c>
      <c r="D24" s="12">
        <v>137</v>
      </c>
      <c r="E24" s="1" t="str">
        <f>VLOOKUP(D24, Home!$B$2:$C$100, 2, FALSE)</f>
        <v>مناديل مبلله للوجه منوع روائح ماركه HP 25قطعه</v>
      </c>
      <c r="F24">
        <v>2</v>
      </c>
      <c r="G24" s="10">
        <f>VLOOKUP(D24, Home!$B$2:$G$1002, 6, FALSE)</f>
        <v>270</v>
      </c>
      <c r="H24" s="10">
        <f t="shared" si="1"/>
        <v>540</v>
      </c>
    </row>
    <row r="25" spans="1:9" x14ac:dyDescent="0.25">
      <c r="A25" s="10">
        <v>7</v>
      </c>
      <c r="B25" s="10">
        <v>1000</v>
      </c>
      <c r="C25" s="10" t="s">
        <v>42</v>
      </c>
      <c r="D25" s="12">
        <v>136</v>
      </c>
      <c r="E25" s="1" t="str">
        <f>VLOOKUP(D25, Home!$B$2:$C$100, 2, FALSE)</f>
        <v xml:space="preserve">مناديل مبلل سيتستيف ٩٠ منديل </v>
      </c>
      <c r="F25">
        <v>1</v>
      </c>
      <c r="G25" s="10">
        <f>VLOOKUP(D25, Home!$B$2:$G$1002, 6, FALSE)</f>
        <v>420</v>
      </c>
      <c r="H25" s="10">
        <f t="shared" si="1"/>
        <v>420</v>
      </c>
    </row>
    <row r="26" spans="1:9" x14ac:dyDescent="0.25">
      <c r="A26" s="10">
        <v>7</v>
      </c>
      <c r="B26" s="10">
        <v>1000</v>
      </c>
      <c r="C26" s="10" t="s">
        <v>42</v>
      </c>
      <c r="D26" s="12">
        <v>118</v>
      </c>
      <c r="E26" s="1" t="str">
        <f>VLOOKUP(D26, Home!$B$2:$C$100, 2, FALSE)</f>
        <v>صنادل منزليه MR-131</v>
      </c>
      <c r="F26">
        <v>1</v>
      </c>
      <c r="G26" s="10">
        <f>VLOOKUP(D26, Home!$B$2:$G$1002, 6, FALSE)</f>
        <v>750</v>
      </c>
      <c r="H26" s="10">
        <f t="shared" si="1"/>
        <v>750</v>
      </c>
    </row>
    <row r="27" spans="1:9" x14ac:dyDescent="0.25">
      <c r="A27" s="10">
        <v>7</v>
      </c>
      <c r="B27" s="10">
        <v>1000</v>
      </c>
      <c r="C27" s="10" t="s">
        <v>42</v>
      </c>
      <c r="D27" s="12">
        <v>119</v>
      </c>
      <c r="E27" s="1" t="str">
        <f>VLOOKUP(D27, Home!$B$2:$C$100, 2, FALSE)</f>
        <v xml:space="preserve">صنادل منزليه نسائي فرو ازرق +لبني </v>
      </c>
      <c r="F27">
        <v>1</v>
      </c>
      <c r="G27" s="10">
        <f>VLOOKUP(D27, Home!$B$2:$G$1002, 6, FALSE)</f>
        <v>900</v>
      </c>
      <c r="H27" s="10">
        <f t="shared" si="1"/>
        <v>900</v>
      </c>
    </row>
    <row r="28" spans="1:9" x14ac:dyDescent="0.25">
      <c r="A28" s="10">
        <v>7</v>
      </c>
      <c r="B28" s="10">
        <v>1000</v>
      </c>
      <c r="C28" s="10" t="s">
        <v>42</v>
      </c>
      <c r="D28" s="12">
        <v>135</v>
      </c>
      <c r="E28" s="1" t="str">
        <f>VLOOKUP(D28, Home!$B$2:$C$100, 2, FALSE)</f>
        <v>ملخاخ اسنان ابو ٣ طقم طرد ٤٠٣٩</v>
      </c>
      <c r="F28">
        <v>6</v>
      </c>
      <c r="G28" s="10">
        <f>VLOOKUP(D28, Home!$B$2:$G$1002, 6, FALSE)</f>
        <v>135</v>
      </c>
      <c r="H28" s="10">
        <f t="shared" si="1"/>
        <v>810</v>
      </c>
    </row>
    <row r="29" spans="1:9" x14ac:dyDescent="0.25">
      <c r="A29" s="10">
        <v>7</v>
      </c>
      <c r="B29" s="10">
        <v>1000</v>
      </c>
      <c r="C29" s="10" t="s">
        <v>42</v>
      </c>
      <c r="D29" s="12">
        <v>138</v>
      </c>
      <c r="E29" s="1" t="str">
        <f>VLOOKUP(D29, Home!$B$2:$C$100, 2, FALSE)</f>
        <v>منشفه مضغوطه للاستخدام مره واحده ١*٢٠ حبه -</v>
      </c>
      <c r="F29">
        <v>1</v>
      </c>
      <c r="G29" s="10">
        <f>VLOOKUP(D29, Home!$B$2:$G$1002, 6, FALSE)</f>
        <v>500</v>
      </c>
      <c r="H29" s="10">
        <f t="shared" si="1"/>
        <v>500</v>
      </c>
    </row>
    <row r="30" spans="1:9" x14ac:dyDescent="0.25">
      <c r="A30" s="10">
        <v>7</v>
      </c>
      <c r="B30" s="10">
        <v>1000</v>
      </c>
      <c r="C30" s="10" t="s">
        <v>42</v>
      </c>
      <c r="D30" s="12">
        <v>112</v>
      </c>
      <c r="E30" s="1" t="str">
        <f>VLOOKUP(D30, Home!$B$2:$C$100, 2, FALSE)</f>
        <v>سفره طاولة 137*137</v>
      </c>
      <c r="F30">
        <v>1</v>
      </c>
      <c r="G30" s="10">
        <f>VLOOKUP(D30, Home!$B$2:$G$1002, 6, FALSE)</f>
        <v>400</v>
      </c>
      <c r="H30" s="10">
        <f t="shared" si="1"/>
        <v>400</v>
      </c>
    </row>
    <row r="31" spans="1:9" x14ac:dyDescent="0.25">
      <c r="A31" s="10">
        <v>7</v>
      </c>
      <c r="B31" s="10">
        <v>1000</v>
      </c>
      <c r="C31" s="10" t="s">
        <v>42</v>
      </c>
      <c r="D31" s="12">
        <v>114</v>
      </c>
      <c r="E31" s="1" t="str">
        <f>VLOOKUP(D31, Home!$B$2:$C$100, 2, FALSE)</f>
        <v>سفره طاوله ١٥٢*١٣٧ - طرد ٣١١٢</v>
      </c>
      <c r="F31">
        <v>2</v>
      </c>
      <c r="G31" s="10">
        <f>VLOOKUP(D31, Home!$B$2:$G$1002, 6, FALSE)</f>
        <v>400</v>
      </c>
      <c r="H31" s="10">
        <f t="shared" si="1"/>
        <v>800</v>
      </c>
      <c r="I31">
        <f>SUM(H23:H31)</f>
        <v>6020</v>
      </c>
    </row>
    <row r="32" spans="1:9" x14ac:dyDescent="0.25">
      <c r="E32" s="1"/>
      <c r="G32" s="10"/>
      <c r="H32" s="10"/>
    </row>
    <row r="33" spans="5:8" x14ac:dyDescent="0.25">
      <c r="E33" s="1"/>
      <c r="G33" s="10"/>
      <c r="H33" s="10"/>
    </row>
    <row r="34" spans="5:8" x14ac:dyDescent="0.25">
      <c r="E34" s="1"/>
      <c r="G34" s="10"/>
      <c r="H34" s="10"/>
    </row>
    <row r="35" spans="5:8" x14ac:dyDescent="0.25">
      <c r="E35" s="1"/>
      <c r="G35" s="10"/>
      <c r="H35" s="10"/>
    </row>
    <row r="36" spans="5:8" x14ac:dyDescent="0.25">
      <c r="E36" s="1"/>
      <c r="G36" s="10"/>
      <c r="H36" s="10"/>
    </row>
    <row r="37" spans="5:8" x14ac:dyDescent="0.25">
      <c r="E37" s="1"/>
      <c r="G37" s="10"/>
      <c r="H37" s="10"/>
    </row>
    <row r="38" spans="5:8" x14ac:dyDescent="0.25">
      <c r="E38" s="1"/>
      <c r="G38" s="10"/>
      <c r="H38" s="10"/>
    </row>
    <row r="39" spans="5:8" x14ac:dyDescent="0.25">
      <c r="E39" s="1"/>
      <c r="G39" s="10"/>
      <c r="H39" s="10"/>
    </row>
    <row r="40" spans="5:8" x14ac:dyDescent="0.25">
      <c r="E40" s="1"/>
      <c r="G40" s="10"/>
      <c r="H40" s="10"/>
    </row>
    <row r="41" spans="5:8" x14ac:dyDescent="0.25">
      <c r="E41" s="1"/>
      <c r="G41" s="10"/>
      <c r="H41" s="10"/>
    </row>
    <row r="42" spans="5:8" x14ac:dyDescent="0.25">
      <c r="E42" s="1"/>
      <c r="G42" s="10"/>
      <c r="H42" s="10"/>
    </row>
    <row r="43" spans="5:8" x14ac:dyDescent="0.25">
      <c r="E43" s="1"/>
      <c r="G43" s="10"/>
      <c r="H43" s="10"/>
    </row>
    <row r="44" spans="5:8" x14ac:dyDescent="0.25">
      <c r="E44" s="1"/>
      <c r="G44" s="10"/>
      <c r="H44" s="10"/>
    </row>
    <row r="45" spans="5:8" x14ac:dyDescent="0.25">
      <c r="E45" s="1"/>
      <c r="G45" s="10"/>
      <c r="H45" s="10"/>
    </row>
    <row r="46" spans="5:8" x14ac:dyDescent="0.25">
      <c r="E46" s="1"/>
      <c r="G46" s="10"/>
      <c r="H46" s="10"/>
    </row>
    <row r="47" spans="5:8" x14ac:dyDescent="0.25">
      <c r="E47" s="1"/>
      <c r="G47" s="10"/>
      <c r="H47" s="10"/>
    </row>
    <row r="48" spans="5:8" x14ac:dyDescent="0.25">
      <c r="E48" s="1"/>
      <c r="G48" s="10"/>
      <c r="H48" s="10"/>
    </row>
    <row r="49" spans="5:8" x14ac:dyDescent="0.25">
      <c r="E49" s="1"/>
      <c r="G49" s="10"/>
      <c r="H49" s="10"/>
    </row>
    <row r="50" spans="5:8" x14ac:dyDescent="0.25">
      <c r="E50" s="1"/>
      <c r="G50" s="10"/>
      <c r="H50" s="10"/>
    </row>
    <row r="51" spans="5:8" x14ac:dyDescent="0.25">
      <c r="E51" s="1"/>
      <c r="G51" s="10"/>
      <c r="H51" s="10"/>
    </row>
    <row r="52" spans="5:8" x14ac:dyDescent="0.25">
      <c r="E52" s="1"/>
      <c r="G52" s="10"/>
      <c r="H52" s="10"/>
    </row>
    <row r="53" spans="5:8" x14ac:dyDescent="0.25">
      <c r="E53" s="1"/>
      <c r="G53" s="10"/>
      <c r="H53" s="10"/>
    </row>
    <row r="54" spans="5:8" x14ac:dyDescent="0.25">
      <c r="E54" s="1"/>
      <c r="G54" s="10"/>
      <c r="H54" s="10"/>
    </row>
    <row r="55" spans="5:8" x14ac:dyDescent="0.25">
      <c r="E55" s="1"/>
      <c r="G55" s="10"/>
      <c r="H55" s="10"/>
    </row>
    <row r="56" spans="5:8" x14ac:dyDescent="0.25">
      <c r="E56" s="1"/>
      <c r="G56" s="10"/>
      <c r="H56" s="10"/>
    </row>
    <row r="57" spans="5:8" x14ac:dyDescent="0.25">
      <c r="E57" s="1"/>
      <c r="G57" s="10"/>
      <c r="H57" s="10"/>
    </row>
    <row r="58" spans="5:8" x14ac:dyDescent="0.25">
      <c r="E58" s="1"/>
      <c r="G58" s="10"/>
      <c r="H58" s="10"/>
    </row>
    <row r="59" spans="5:8" x14ac:dyDescent="0.25">
      <c r="E59" s="1"/>
      <c r="G59" s="10"/>
      <c r="H59" s="10"/>
    </row>
    <row r="60" spans="5:8" x14ac:dyDescent="0.25">
      <c r="E60" s="1"/>
      <c r="G60" s="10"/>
      <c r="H60" s="10"/>
    </row>
    <row r="61" spans="5:8" x14ac:dyDescent="0.25">
      <c r="E61" s="1"/>
      <c r="G61" s="10"/>
      <c r="H61" s="10"/>
    </row>
    <row r="62" spans="5:8" x14ac:dyDescent="0.25">
      <c r="E62" s="1"/>
      <c r="G62" s="10"/>
      <c r="H62" s="10"/>
    </row>
    <row r="63" spans="5:8" x14ac:dyDescent="0.25">
      <c r="E63" s="1"/>
      <c r="G63" s="10"/>
      <c r="H63" s="10"/>
    </row>
    <row r="64" spans="5:8" x14ac:dyDescent="0.25">
      <c r="E64" s="1"/>
      <c r="G64" s="10"/>
      <c r="H64" s="10"/>
    </row>
    <row r="65" spans="5:8" x14ac:dyDescent="0.25">
      <c r="E65" s="1"/>
      <c r="G65" s="10"/>
      <c r="H65" s="10"/>
    </row>
    <row r="66" spans="5:8" x14ac:dyDescent="0.25">
      <c r="E66" s="1"/>
      <c r="G66" s="10"/>
      <c r="H66" s="10"/>
    </row>
    <row r="67" spans="5:8" x14ac:dyDescent="0.25">
      <c r="E67" s="1"/>
      <c r="G67" s="10"/>
      <c r="H67" s="10"/>
    </row>
    <row r="68" spans="5:8" x14ac:dyDescent="0.25">
      <c r="E68" s="1"/>
      <c r="G68" s="10"/>
      <c r="H68" s="10"/>
    </row>
    <row r="69" spans="5:8" x14ac:dyDescent="0.25">
      <c r="E69" s="1"/>
      <c r="G69" s="10"/>
      <c r="H69" s="10"/>
    </row>
    <row r="70" spans="5:8" x14ac:dyDescent="0.25">
      <c r="E70" s="1"/>
      <c r="G70" s="10"/>
      <c r="H70" s="10"/>
    </row>
    <row r="71" spans="5:8" x14ac:dyDescent="0.25">
      <c r="E71" s="1"/>
      <c r="G71" s="10"/>
      <c r="H71" s="10"/>
    </row>
    <row r="72" spans="5:8" x14ac:dyDescent="0.25">
      <c r="E72" s="1"/>
      <c r="G72" s="10"/>
      <c r="H72" s="10"/>
    </row>
    <row r="73" spans="5:8" x14ac:dyDescent="0.25">
      <c r="E73" s="1"/>
      <c r="G73" s="10"/>
      <c r="H73" s="10"/>
    </row>
    <row r="74" spans="5:8" x14ac:dyDescent="0.25">
      <c r="E74" s="1"/>
      <c r="G74" s="10"/>
      <c r="H74" s="10"/>
    </row>
    <row r="75" spans="5:8" x14ac:dyDescent="0.25">
      <c r="E75" s="1"/>
      <c r="G75" s="10"/>
      <c r="H75" s="10"/>
    </row>
    <row r="76" spans="5:8" x14ac:dyDescent="0.25">
      <c r="E76" s="1"/>
      <c r="G76" s="10"/>
      <c r="H76" s="10"/>
    </row>
    <row r="77" spans="5:8" x14ac:dyDescent="0.25">
      <c r="E77" s="1"/>
      <c r="G77" s="10"/>
      <c r="H77" s="10"/>
    </row>
    <row r="78" spans="5:8" x14ac:dyDescent="0.25">
      <c r="E78" s="1"/>
      <c r="G78" s="10"/>
      <c r="H78" s="10"/>
    </row>
    <row r="79" spans="5:8" x14ac:dyDescent="0.25">
      <c r="E79" s="1"/>
      <c r="G79" s="10"/>
      <c r="H79" s="10"/>
    </row>
    <row r="80" spans="5:8" x14ac:dyDescent="0.25">
      <c r="E80" s="1"/>
      <c r="G80" s="10"/>
      <c r="H80" s="10"/>
    </row>
    <row r="81" spans="5:8" x14ac:dyDescent="0.25">
      <c r="E81" s="1"/>
      <c r="G81" s="10"/>
      <c r="H81" s="10"/>
    </row>
    <row r="82" spans="5:8" x14ac:dyDescent="0.25">
      <c r="E82" s="1"/>
      <c r="G82" s="10"/>
      <c r="H82" s="10"/>
    </row>
    <row r="83" spans="5:8" x14ac:dyDescent="0.25">
      <c r="E83" s="1"/>
      <c r="G83" s="10"/>
      <c r="H83" s="10"/>
    </row>
    <row r="84" spans="5:8" x14ac:dyDescent="0.25">
      <c r="E84" s="1"/>
      <c r="G84" s="10"/>
      <c r="H84" s="10"/>
    </row>
    <row r="85" spans="5:8" x14ac:dyDescent="0.25">
      <c r="E85" s="1"/>
      <c r="G85" s="10"/>
      <c r="H85" s="10"/>
    </row>
    <row r="86" spans="5:8" x14ac:dyDescent="0.25">
      <c r="E86" s="1"/>
      <c r="G86" s="10"/>
      <c r="H86" s="10"/>
    </row>
    <row r="87" spans="5:8" x14ac:dyDescent="0.25">
      <c r="E87" s="1"/>
      <c r="G87" s="10"/>
      <c r="H87" s="10"/>
    </row>
    <row r="88" spans="5:8" x14ac:dyDescent="0.25">
      <c r="E88" s="1"/>
      <c r="G88" s="10"/>
      <c r="H88" s="10"/>
    </row>
    <row r="89" spans="5:8" x14ac:dyDescent="0.25">
      <c r="E89" s="1"/>
      <c r="G89" s="10"/>
      <c r="H89" s="10"/>
    </row>
    <row r="90" spans="5:8" x14ac:dyDescent="0.25">
      <c r="E90" s="1"/>
      <c r="G90" s="10"/>
      <c r="H90" s="10"/>
    </row>
    <row r="91" spans="5:8" x14ac:dyDescent="0.25">
      <c r="E91" s="1"/>
      <c r="G91" s="10"/>
      <c r="H91" s="10"/>
    </row>
    <row r="92" spans="5:8" x14ac:dyDescent="0.25">
      <c r="E92" s="1"/>
      <c r="G92" s="10"/>
      <c r="H92" s="10"/>
    </row>
    <row r="93" spans="5:8" x14ac:dyDescent="0.25">
      <c r="E93" s="1"/>
      <c r="G93" s="10"/>
      <c r="H93" s="10"/>
    </row>
    <row r="94" spans="5:8" x14ac:dyDescent="0.25">
      <c r="E94" s="1"/>
      <c r="G94" s="10"/>
      <c r="H94" s="10"/>
    </row>
    <row r="95" spans="5:8" x14ac:dyDescent="0.25">
      <c r="E95" s="1"/>
      <c r="G95" s="10"/>
      <c r="H95" s="10"/>
    </row>
    <row r="96" spans="5:8" x14ac:dyDescent="0.25">
      <c r="E96" s="1"/>
      <c r="G96" s="10"/>
      <c r="H96" s="10"/>
    </row>
    <row r="97" spans="5:8" x14ac:dyDescent="0.25">
      <c r="E97" s="1"/>
      <c r="G97" s="10"/>
      <c r="H97" s="10"/>
    </row>
    <row r="98" spans="5:8" x14ac:dyDescent="0.25">
      <c r="E98" s="1"/>
      <c r="G98" s="10"/>
      <c r="H98" s="10"/>
    </row>
    <row r="99" spans="5:8" x14ac:dyDescent="0.25">
      <c r="E99" s="1"/>
      <c r="G99" s="10"/>
      <c r="H99" s="10"/>
    </row>
    <row r="100" spans="5:8" x14ac:dyDescent="0.25">
      <c r="E100" s="1"/>
      <c r="G100" s="10"/>
      <c r="H100" s="10"/>
    </row>
    <row r="101" spans="5:8" x14ac:dyDescent="0.25">
      <c r="E101" s="1"/>
      <c r="G101" s="10"/>
      <c r="H101" s="10"/>
    </row>
    <row r="102" spans="5:8" x14ac:dyDescent="0.25">
      <c r="E102" s="1"/>
      <c r="G102" s="10"/>
      <c r="H102" s="10"/>
    </row>
    <row r="103" spans="5:8" x14ac:dyDescent="0.25">
      <c r="E103" s="1"/>
      <c r="G103" s="10"/>
      <c r="H103" s="10"/>
    </row>
    <row r="104" spans="5:8" x14ac:dyDescent="0.25">
      <c r="E104" s="1"/>
      <c r="G104" s="10"/>
      <c r="H104" s="10"/>
    </row>
    <row r="105" spans="5:8" x14ac:dyDescent="0.25">
      <c r="E105" s="1"/>
      <c r="G105" s="10"/>
      <c r="H105" s="10"/>
    </row>
    <row r="106" spans="5:8" x14ac:dyDescent="0.25">
      <c r="E106" s="1"/>
      <c r="G106" s="10"/>
      <c r="H106" s="10"/>
    </row>
    <row r="107" spans="5:8" x14ac:dyDescent="0.25">
      <c r="E107" s="1"/>
      <c r="G107" s="10"/>
      <c r="H107" s="10"/>
    </row>
    <row r="108" spans="5:8" x14ac:dyDescent="0.25">
      <c r="E108" s="1"/>
      <c r="G108" s="10"/>
      <c r="H108" s="10"/>
    </row>
    <row r="109" spans="5:8" x14ac:dyDescent="0.25">
      <c r="E109" s="1"/>
      <c r="G109" s="10"/>
      <c r="H109" s="10"/>
    </row>
    <row r="110" spans="5:8" x14ac:dyDescent="0.25">
      <c r="E110" s="1"/>
      <c r="G110" s="10"/>
      <c r="H110" s="10"/>
    </row>
    <row r="111" spans="5:8" x14ac:dyDescent="0.25">
      <c r="E111" s="1"/>
      <c r="G111" s="10"/>
      <c r="H111" s="10"/>
    </row>
    <row r="112" spans="5:8" x14ac:dyDescent="0.25">
      <c r="E112" s="1"/>
      <c r="G112" s="10"/>
      <c r="H112" s="10"/>
    </row>
    <row r="113" spans="5:8" x14ac:dyDescent="0.25">
      <c r="E113" s="1"/>
      <c r="G113" s="10"/>
      <c r="H113" s="10"/>
    </row>
    <row r="114" spans="5:8" x14ac:dyDescent="0.25">
      <c r="E114" s="1"/>
      <c r="G114" s="10"/>
      <c r="H114" s="10"/>
    </row>
    <row r="115" spans="5:8" x14ac:dyDescent="0.25">
      <c r="E115" s="1"/>
      <c r="G115" s="10"/>
      <c r="H115" s="10"/>
    </row>
    <row r="116" spans="5:8" x14ac:dyDescent="0.25">
      <c r="E116" s="1"/>
      <c r="G116" s="10"/>
      <c r="H116" s="10"/>
    </row>
    <row r="117" spans="5:8" x14ac:dyDescent="0.25">
      <c r="E117" s="1"/>
      <c r="G117" s="10"/>
      <c r="H117" s="10"/>
    </row>
    <row r="118" spans="5:8" x14ac:dyDescent="0.25">
      <c r="E118" s="1"/>
      <c r="G118" s="10"/>
      <c r="H118" s="10"/>
    </row>
    <row r="119" spans="5:8" x14ac:dyDescent="0.25">
      <c r="E119" s="1"/>
      <c r="G119" s="10"/>
      <c r="H119" s="10"/>
    </row>
    <row r="120" spans="5:8" x14ac:dyDescent="0.25">
      <c r="E120" s="1"/>
      <c r="G120" s="10"/>
      <c r="H120" s="10"/>
    </row>
    <row r="121" spans="5:8" x14ac:dyDescent="0.25">
      <c r="E121" s="1"/>
      <c r="G121" s="10"/>
      <c r="H121" s="10"/>
    </row>
    <row r="122" spans="5:8" x14ac:dyDescent="0.25">
      <c r="E122" s="1"/>
      <c r="G122" s="10"/>
      <c r="H122" s="10"/>
    </row>
    <row r="123" spans="5:8" x14ac:dyDescent="0.25">
      <c r="E123" s="1"/>
      <c r="G123" s="10"/>
      <c r="H123" s="10"/>
    </row>
    <row r="124" spans="5:8" x14ac:dyDescent="0.25">
      <c r="E124" s="1"/>
      <c r="G124" s="10"/>
      <c r="H124" s="10"/>
    </row>
    <row r="125" spans="5:8" x14ac:dyDescent="0.25">
      <c r="E125" s="1"/>
      <c r="G125" s="10"/>
      <c r="H125" s="10"/>
    </row>
    <row r="126" spans="5:8" x14ac:dyDescent="0.25">
      <c r="E126" s="1"/>
      <c r="G126" s="10"/>
      <c r="H126" s="10"/>
    </row>
    <row r="127" spans="5:8" x14ac:dyDescent="0.25">
      <c r="E127" s="1"/>
      <c r="G127" s="10"/>
      <c r="H127" s="10"/>
    </row>
    <row r="128" spans="5:8" x14ac:dyDescent="0.25">
      <c r="E128" s="1"/>
      <c r="G128" s="10"/>
      <c r="H128" s="10"/>
    </row>
    <row r="129" spans="5:8" x14ac:dyDescent="0.25">
      <c r="E129" s="1"/>
      <c r="G129" s="10"/>
      <c r="H129" s="10"/>
    </row>
    <row r="130" spans="5:8" x14ac:dyDescent="0.25">
      <c r="E130" s="1"/>
      <c r="G130" s="10"/>
      <c r="H130" s="10"/>
    </row>
    <row r="131" spans="5:8" x14ac:dyDescent="0.25">
      <c r="E131" s="1"/>
      <c r="G131" s="10"/>
      <c r="H131" s="10"/>
    </row>
    <row r="132" spans="5:8" x14ac:dyDescent="0.25">
      <c r="E132" s="1"/>
      <c r="G132" s="10"/>
      <c r="H132" s="10"/>
    </row>
    <row r="133" spans="5:8" x14ac:dyDescent="0.25">
      <c r="E133" s="1"/>
      <c r="G133" s="10"/>
      <c r="H133" s="10"/>
    </row>
    <row r="134" spans="5:8" x14ac:dyDescent="0.25">
      <c r="E134" s="1"/>
      <c r="G134" s="10"/>
      <c r="H134" s="10"/>
    </row>
    <row r="135" spans="5:8" x14ac:dyDescent="0.25">
      <c r="E135" s="1"/>
      <c r="G135" s="10"/>
      <c r="H135" s="10"/>
    </row>
    <row r="136" spans="5:8" x14ac:dyDescent="0.25">
      <c r="E136" s="1"/>
      <c r="G136" s="10"/>
      <c r="H136" s="10"/>
    </row>
    <row r="137" spans="5:8" x14ac:dyDescent="0.25">
      <c r="E137" s="1"/>
      <c r="G137" s="10"/>
      <c r="H137" s="10"/>
    </row>
    <row r="138" spans="5:8" x14ac:dyDescent="0.25">
      <c r="E138" s="1"/>
      <c r="G138" s="10"/>
      <c r="H138" s="10"/>
    </row>
    <row r="139" spans="5:8" x14ac:dyDescent="0.25">
      <c r="E139" s="1"/>
      <c r="G139" s="10"/>
      <c r="H139" s="10"/>
    </row>
    <row r="140" spans="5:8" x14ac:dyDescent="0.25">
      <c r="E140" s="1"/>
      <c r="G140" s="10"/>
      <c r="H140" s="10"/>
    </row>
    <row r="141" spans="5:8" x14ac:dyDescent="0.25">
      <c r="E141" s="1"/>
      <c r="G141" s="10"/>
      <c r="H141" s="10"/>
    </row>
    <row r="142" spans="5:8" x14ac:dyDescent="0.25">
      <c r="E142" s="1"/>
      <c r="G142" s="10"/>
      <c r="H142" s="10"/>
    </row>
    <row r="143" spans="5:8" x14ac:dyDescent="0.25">
      <c r="E143" s="1"/>
      <c r="G143" s="10"/>
      <c r="H143" s="10"/>
    </row>
    <row r="144" spans="5:8" x14ac:dyDescent="0.25">
      <c r="E144" s="1"/>
      <c r="G144" s="10"/>
      <c r="H144" s="10"/>
    </row>
    <row r="145" spans="5:8" x14ac:dyDescent="0.25">
      <c r="E145" s="1"/>
      <c r="G145" s="10"/>
      <c r="H145" s="10"/>
    </row>
    <row r="146" spans="5:8" x14ac:dyDescent="0.25">
      <c r="E146" s="1"/>
      <c r="G146" s="10"/>
      <c r="H146" s="10"/>
    </row>
    <row r="147" spans="5:8" x14ac:dyDescent="0.25">
      <c r="E147" s="1"/>
      <c r="G147" s="10"/>
      <c r="H147" s="10"/>
    </row>
    <row r="148" spans="5:8" x14ac:dyDescent="0.25">
      <c r="E148" s="1"/>
      <c r="G148" s="10"/>
      <c r="H148" s="10"/>
    </row>
    <row r="149" spans="5:8" x14ac:dyDescent="0.25">
      <c r="E149" s="1"/>
      <c r="G149" s="10"/>
      <c r="H149" s="10"/>
    </row>
    <row r="150" spans="5:8" x14ac:dyDescent="0.25">
      <c r="E150" s="1"/>
      <c r="G150" s="10"/>
      <c r="H150" s="10"/>
    </row>
    <row r="151" spans="5:8" x14ac:dyDescent="0.25">
      <c r="E151" s="1"/>
      <c r="G151" s="10"/>
      <c r="H151" s="10"/>
    </row>
    <row r="152" spans="5:8" x14ac:dyDescent="0.25">
      <c r="E152" s="1"/>
      <c r="G152" s="10"/>
      <c r="H152" s="10"/>
    </row>
    <row r="153" spans="5:8" x14ac:dyDescent="0.25">
      <c r="E153" s="1"/>
      <c r="G153" s="10"/>
      <c r="H153" s="10"/>
    </row>
    <row r="154" spans="5:8" x14ac:dyDescent="0.25">
      <c r="E154" s="1"/>
      <c r="G154" s="10"/>
      <c r="H154" s="10"/>
    </row>
    <row r="155" spans="5:8" x14ac:dyDescent="0.25">
      <c r="E155" s="1"/>
      <c r="G155" s="10"/>
      <c r="H155" s="10"/>
    </row>
    <row r="156" spans="5:8" x14ac:dyDescent="0.25">
      <c r="E156" s="1"/>
      <c r="G156" s="10"/>
      <c r="H156" s="10"/>
    </row>
    <row r="157" spans="5:8" x14ac:dyDescent="0.25">
      <c r="E157" s="1"/>
      <c r="G157" s="10"/>
      <c r="H157" s="10"/>
    </row>
    <row r="158" spans="5:8" x14ac:dyDescent="0.25">
      <c r="E158" s="1"/>
      <c r="G158" s="10"/>
      <c r="H158" s="10"/>
    </row>
    <row r="159" spans="5:8" x14ac:dyDescent="0.25">
      <c r="E159" s="1"/>
      <c r="G159" s="10"/>
      <c r="H159" s="10"/>
    </row>
    <row r="160" spans="5:8" x14ac:dyDescent="0.25">
      <c r="E160" s="1"/>
      <c r="G160" s="10"/>
      <c r="H160" s="10"/>
    </row>
    <row r="161" spans="5:8" x14ac:dyDescent="0.25">
      <c r="E161" s="1"/>
      <c r="G161" s="10"/>
      <c r="H161" s="10"/>
    </row>
    <row r="162" spans="5:8" x14ac:dyDescent="0.25">
      <c r="E162" s="1"/>
      <c r="G162" s="10"/>
      <c r="H162" s="10"/>
    </row>
    <row r="163" spans="5:8" x14ac:dyDescent="0.25">
      <c r="E163" s="1"/>
      <c r="G163" s="10"/>
      <c r="H163" s="10"/>
    </row>
    <row r="164" spans="5:8" x14ac:dyDescent="0.25">
      <c r="E164" s="1"/>
      <c r="G164" s="10"/>
      <c r="H164" s="10"/>
    </row>
    <row r="165" spans="5:8" x14ac:dyDescent="0.25">
      <c r="E165" s="1"/>
      <c r="G165" s="10"/>
      <c r="H165" s="10"/>
    </row>
    <row r="166" spans="5:8" x14ac:dyDescent="0.25">
      <c r="E166" s="1"/>
      <c r="G166" s="10"/>
      <c r="H166" s="10"/>
    </row>
    <row r="167" spans="5:8" x14ac:dyDescent="0.25">
      <c r="E167" s="1"/>
      <c r="G167" s="10"/>
      <c r="H167" s="10"/>
    </row>
    <row r="168" spans="5:8" x14ac:dyDescent="0.25">
      <c r="E168" s="1"/>
      <c r="G168" s="10"/>
      <c r="H168" s="10"/>
    </row>
    <row r="169" spans="5:8" x14ac:dyDescent="0.25">
      <c r="E169" s="1"/>
      <c r="G169" s="10"/>
      <c r="H169" s="10"/>
    </row>
    <row r="170" spans="5:8" x14ac:dyDescent="0.25">
      <c r="E170" s="1"/>
      <c r="G170" s="10"/>
      <c r="H170" s="10"/>
    </row>
    <row r="171" spans="5:8" x14ac:dyDescent="0.25">
      <c r="E171" s="1"/>
      <c r="G171" s="10"/>
      <c r="H171" s="10"/>
    </row>
    <row r="172" spans="5:8" x14ac:dyDescent="0.25">
      <c r="E172" s="1"/>
      <c r="G172" s="10"/>
      <c r="H172" s="10"/>
    </row>
    <row r="173" spans="5:8" x14ac:dyDescent="0.25">
      <c r="E173" s="1"/>
      <c r="G173" s="10"/>
      <c r="H173" s="10"/>
    </row>
    <row r="174" spans="5:8" x14ac:dyDescent="0.25">
      <c r="E174" s="1"/>
      <c r="G174" s="10"/>
      <c r="H174" s="10"/>
    </row>
    <row r="175" spans="5:8" x14ac:dyDescent="0.25">
      <c r="E175" s="1"/>
      <c r="G175" s="10"/>
      <c r="H175" s="10"/>
    </row>
    <row r="176" spans="5:8" x14ac:dyDescent="0.25">
      <c r="E176" s="1"/>
      <c r="G176" s="10"/>
      <c r="H176" s="10"/>
    </row>
    <row r="177" spans="5:8" x14ac:dyDescent="0.25">
      <c r="E177" s="1"/>
      <c r="G177" s="10"/>
      <c r="H177" s="10"/>
    </row>
    <row r="178" spans="5:8" x14ac:dyDescent="0.25">
      <c r="E178" s="1"/>
      <c r="G178" s="10"/>
      <c r="H178" s="10"/>
    </row>
    <row r="179" spans="5:8" x14ac:dyDescent="0.25">
      <c r="E179" s="1"/>
      <c r="G179" s="10"/>
      <c r="H179" s="10"/>
    </row>
    <row r="180" spans="5:8" x14ac:dyDescent="0.25">
      <c r="E180" s="1"/>
      <c r="G180" s="10"/>
      <c r="H180" s="10"/>
    </row>
    <row r="181" spans="5:8" x14ac:dyDescent="0.25">
      <c r="E181" s="1"/>
      <c r="G181" s="10"/>
      <c r="H181" s="10"/>
    </row>
    <row r="182" spans="5:8" x14ac:dyDescent="0.25">
      <c r="E182" s="1"/>
      <c r="G182" s="10"/>
      <c r="H182" s="10"/>
    </row>
    <row r="183" spans="5:8" x14ac:dyDescent="0.25">
      <c r="E183" s="1"/>
      <c r="G183" s="10"/>
      <c r="H183" s="10"/>
    </row>
    <row r="184" spans="5:8" x14ac:dyDescent="0.25">
      <c r="E184" s="1"/>
      <c r="G184" s="10"/>
      <c r="H184" s="10"/>
    </row>
    <row r="185" spans="5:8" x14ac:dyDescent="0.25">
      <c r="E185" s="1"/>
      <c r="G185" s="10"/>
      <c r="H185" s="10"/>
    </row>
    <row r="186" spans="5:8" x14ac:dyDescent="0.25">
      <c r="E186" s="1"/>
      <c r="G186" s="10"/>
      <c r="H186" s="10"/>
    </row>
    <row r="187" spans="5:8" x14ac:dyDescent="0.25">
      <c r="E187" s="1"/>
      <c r="G187" s="10"/>
      <c r="H187" s="10"/>
    </row>
    <row r="188" spans="5:8" x14ac:dyDescent="0.25">
      <c r="E188" s="1"/>
      <c r="G188" s="10"/>
      <c r="H188" s="10"/>
    </row>
    <row r="189" spans="5:8" x14ac:dyDescent="0.25">
      <c r="E189" s="1"/>
      <c r="G189" s="10"/>
      <c r="H189" s="10"/>
    </row>
    <row r="190" spans="5:8" x14ac:dyDescent="0.25">
      <c r="E190" s="1"/>
      <c r="G190" s="10"/>
      <c r="H190" s="10"/>
    </row>
    <row r="191" spans="5:8" x14ac:dyDescent="0.25">
      <c r="E191" s="1"/>
      <c r="G191" s="10"/>
      <c r="H191" s="10"/>
    </row>
    <row r="192" spans="5:8" x14ac:dyDescent="0.25">
      <c r="E192" s="1"/>
      <c r="G192" s="10"/>
      <c r="H192" s="10"/>
    </row>
    <row r="193" spans="5:8" x14ac:dyDescent="0.25">
      <c r="E193" s="1"/>
      <c r="G193" s="10"/>
      <c r="H193" s="10"/>
    </row>
    <row r="194" spans="5:8" x14ac:dyDescent="0.25">
      <c r="E194" s="1"/>
      <c r="G194" s="10"/>
      <c r="H194" s="10"/>
    </row>
    <row r="195" spans="5:8" x14ac:dyDescent="0.25">
      <c r="E195" s="1"/>
      <c r="G195" s="10"/>
      <c r="H195" s="10"/>
    </row>
    <row r="196" spans="5:8" x14ac:dyDescent="0.25">
      <c r="E196" s="1"/>
      <c r="G196" s="10"/>
      <c r="H196" s="10"/>
    </row>
    <row r="197" spans="5:8" x14ac:dyDescent="0.25">
      <c r="E197" s="1"/>
      <c r="G197" s="10"/>
      <c r="H197" s="10"/>
    </row>
    <row r="198" spans="5:8" x14ac:dyDescent="0.25">
      <c r="E198" s="1"/>
      <c r="G198" s="10"/>
      <c r="H198" s="10"/>
    </row>
    <row r="199" spans="5:8" x14ac:dyDescent="0.25">
      <c r="E199" s="1"/>
      <c r="G199" s="10"/>
      <c r="H199" s="10"/>
    </row>
    <row r="200" spans="5:8" x14ac:dyDescent="0.25">
      <c r="E200" s="1"/>
      <c r="G200" s="10"/>
      <c r="H200" s="10"/>
    </row>
    <row r="201" spans="5:8" x14ac:dyDescent="0.25">
      <c r="E201" s="1"/>
      <c r="G201" s="10"/>
      <c r="H201" s="10"/>
    </row>
    <row r="202" spans="5:8" x14ac:dyDescent="0.25">
      <c r="E202" s="1"/>
      <c r="G202" s="10"/>
      <c r="H202" s="10"/>
    </row>
    <row r="203" spans="5:8" x14ac:dyDescent="0.25">
      <c r="E203" s="1"/>
      <c r="G203" s="10"/>
      <c r="H203" s="10"/>
    </row>
    <row r="204" spans="5:8" x14ac:dyDescent="0.25">
      <c r="E204" s="1"/>
      <c r="G204" s="10"/>
      <c r="H204" s="10"/>
    </row>
    <row r="205" spans="5:8" x14ac:dyDescent="0.25">
      <c r="E205" s="1"/>
      <c r="G205" s="10"/>
      <c r="H205" s="10"/>
    </row>
    <row r="206" spans="5:8" x14ac:dyDescent="0.25">
      <c r="E206" s="1"/>
      <c r="G206" s="10"/>
      <c r="H206" s="10"/>
    </row>
    <row r="207" spans="5:8" x14ac:dyDescent="0.25">
      <c r="E207" s="1"/>
      <c r="G207" s="10"/>
      <c r="H207" s="10"/>
    </row>
    <row r="208" spans="5:8" x14ac:dyDescent="0.25">
      <c r="E208" s="1"/>
      <c r="G208" s="10"/>
      <c r="H208" s="10"/>
    </row>
    <row r="209" spans="5:8" x14ac:dyDescent="0.25">
      <c r="E209" s="1"/>
      <c r="G209" s="10"/>
      <c r="H209" s="10"/>
    </row>
    <row r="210" spans="5:8" x14ac:dyDescent="0.25">
      <c r="E210" s="1"/>
      <c r="G210" s="10"/>
      <c r="H210" s="10"/>
    </row>
    <row r="211" spans="5:8" x14ac:dyDescent="0.25">
      <c r="E211" s="1"/>
      <c r="G211" s="10"/>
      <c r="H211" s="10"/>
    </row>
    <row r="212" spans="5:8" x14ac:dyDescent="0.25">
      <c r="E212" s="1"/>
      <c r="G212" s="10"/>
      <c r="H212" s="10"/>
    </row>
    <row r="213" spans="5:8" x14ac:dyDescent="0.25">
      <c r="E213" s="1"/>
      <c r="G213" s="10"/>
      <c r="H213" s="10"/>
    </row>
    <row r="214" spans="5:8" x14ac:dyDescent="0.25">
      <c r="E214" s="1"/>
      <c r="G214" s="10"/>
      <c r="H214" s="10"/>
    </row>
    <row r="215" spans="5:8" x14ac:dyDescent="0.25">
      <c r="E215" s="1"/>
      <c r="G215" s="10"/>
      <c r="H215" s="10"/>
    </row>
    <row r="216" spans="5:8" x14ac:dyDescent="0.25">
      <c r="E216" s="1"/>
      <c r="G216" s="10"/>
      <c r="H216" s="10"/>
    </row>
    <row r="217" spans="5:8" x14ac:dyDescent="0.25">
      <c r="E217" s="1"/>
      <c r="G217" s="10"/>
      <c r="H217" s="10"/>
    </row>
    <row r="218" spans="5:8" x14ac:dyDescent="0.25">
      <c r="E218" s="1"/>
      <c r="G218" s="10"/>
      <c r="H218" s="10"/>
    </row>
    <row r="219" spans="5:8" x14ac:dyDescent="0.25">
      <c r="E219" s="1"/>
      <c r="G219" s="10"/>
      <c r="H219" s="10"/>
    </row>
    <row r="220" spans="5:8" x14ac:dyDescent="0.25">
      <c r="E220" s="1"/>
      <c r="G220" s="10"/>
      <c r="H220" s="10"/>
    </row>
    <row r="221" spans="5:8" x14ac:dyDescent="0.25">
      <c r="E221" s="1"/>
      <c r="G221" s="10"/>
      <c r="H221" s="10"/>
    </row>
    <row r="222" spans="5:8" x14ac:dyDescent="0.25">
      <c r="E222" s="1"/>
      <c r="G222" s="10"/>
      <c r="H222" s="10"/>
    </row>
    <row r="223" spans="5:8" x14ac:dyDescent="0.25">
      <c r="E223" s="1"/>
      <c r="G223" s="10"/>
      <c r="H223" s="10"/>
    </row>
    <row r="224" spans="5:8" x14ac:dyDescent="0.25">
      <c r="E224" s="1"/>
      <c r="G224" s="10"/>
      <c r="H224" s="10"/>
    </row>
    <row r="225" spans="5:8" x14ac:dyDescent="0.25">
      <c r="E225" s="1"/>
      <c r="G225" s="10"/>
      <c r="H225" s="10"/>
    </row>
    <row r="226" spans="5:8" x14ac:dyDescent="0.25">
      <c r="E226" s="1"/>
      <c r="G226" s="10"/>
      <c r="H226" s="10"/>
    </row>
    <row r="227" spans="5:8" x14ac:dyDescent="0.25">
      <c r="E227" s="1"/>
      <c r="G227" s="10"/>
      <c r="H227" s="10"/>
    </row>
    <row r="228" spans="5:8" x14ac:dyDescent="0.25">
      <c r="E228" s="1"/>
      <c r="G228" s="10"/>
      <c r="H228" s="10"/>
    </row>
    <row r="229" spans="5:8" x14ac:dyDescent="0.25">
      <c r="E229" s="1"/>
      <c r="G229" s="10"/>
      <c r="H229" s="10"/>
    </row>
    <row r="230" spans="5:8" x14ac:dyDescent="0.25">
      <c r="E230" s="1"/>
      <c r="G230" s="10"/>
      <c r="H230" s="10"/>
    </row>
    <row r="231" spans="5:8" x14ac:dyDescent="0.25">
      <c r="E231" s="1"/>
      <c r="G231" s="10"/>
      <c r="H231" s="10"/>
    </row>
    <row r="232" spans="5:8" x14ac:dyDescent="0.25">
      <c r="E232" s="1"/>
      <c r="G232" s="10"/>
      <c r="H232" s="10"/>
    </row>
    <row r="233" spans="5:8" x14ac:dyDescent="0.25">
      <c r="E233" s="1"/>
      <c r="G233" s="10"/>
      <c r="H233" s="10"/>
    </row>
    <row r="234" spans="5:8" x14ac:dyDescent="0.25">
      <c r="E234" s="1"/>
      <c r="G234" s="10"/>
      <c r="H234" s="10"/>
    </row>
    <row r="235" spans="5:8" x14ac:dyDescent="0.25">
      <c r="E235" s="1"/>
      <c r="G235" s="10"/>
      <c r="H235" s="10"/>
    </row>
    <row r="236" spans="5:8" x14ac:dyDescent="0.25">
      <c r="E236" s="1"/>
      <c r="G236" s="10"/>
      <c r="H236" s="10"/>
    </row>
    <row r="237" spans="5:8" x14ac:dyDescent="0.25">
      <c r="E237" s="1"/>
      <c r="G237" s="10"/>
      <c r="H237" s="10"/>
    </row>
    <row r="238" spans="5:8" x14ac:dyDescent="0.25">
      <c r="E238" s="1"/>
      <c r="G238" s="10"/>
      <c r="H238" s="10"/>
    </row>
    <row r="239" spans="5:8" x14ac:dyDescent="0.25">
      <c r="E239" s="1"/>
      <c r="G239" s="10"/>
      <c r="H239" s="10"/>
    </row>
    <row r="240" spans="5:8" x14ac:dyDescent="0.25">
      <c r="E240" s="1"/>
      <c r="G240" s="10"/>
      <c r="H240" s="10"/>
    </row>
    <row r="241" spans="5:8" x14ac:dyDescent="0.25">
      <c r="E241" s="1"/>
      <c r="G241" s="10"/>
      <c r="H241" s="10"/>
    </row>
    <row r="242" spans="5:8" x14ac:dyDescent="0.25">
      <c r="E242" s="1"/>
      <c r="G242" s="10"/>
      <c r="H242" s="10"/>
    </row>
    <row r="243" spans="5:8" x14ac:dyDescent="0.25">
      <c r="E243" s="1"/>
      <c r="G243" s="10"/>
      <c r="H243" s="10"/>
    </row>
    <row r="244" spans="5:8" x14ac:dyDescent="0.25">
      <c r="E244" s="1"/>
      <c r="G244" s="10"/>
      <c r="H244" s="10"/>
    </row>
    <row r="245" spans="5:8" x14ac:dyDescent="0.25">
      <c r="E245" s="1"/>
      <c r="G245" s="10"/>
      <c r="H245" s="10"/>
    </row>
    <row r="246" spans="5:8" x14ac:dyDescent="0.25">
      <c r="E246" s="1"/>
      <c r="G246" s="10"/>
      <c r="H246" s="10"/>
    </row>
    <row r="247" spans="5:8" x14ac:dyDescent="0.25">
      <c r="E247" s="1"/>
      <c r="G247" s="10"/>
      <c r="H247" s="10"/>
    </row>
    <row r="248" spans="5:8" x14ac:dyDescent="0.25">
      <c r="E248" s="1"/>
      <c r="G248" s="10"/>
      <c r="H248" s="10"/>
    </row>
    <row r="249" spans="5:8" x14ac:dyDescent="0.25">
      <c r="E249" s="1"/>
      <c r="G249" s="10"/>
      <c r="H249" s="10"/>
    </row>
    <row r="250" spans="5:8" x14ac:dyDescent="0.25">
      <c r="E250" s="1"/>
      <c r="G250" s="10"/>
      <c r="H250" s="10"/>
    </row>
    <row r="251" spans="5:8" x14ac:dyDescent="0.25">
      <c r="E251" s="1"/>
      <c r="G251" s="10"/>
      <c r="H251" s="10"/>
    </row>
    <row r="252" spans="5:8" x14ac:dyDescent="0.25">
      <c r="E252" s="1"/>
      <c r="G252" s="10"/>
      <c r="H252" s="10"/>
    </row>
    <row r="253" spans="5:8" x14ac:dyDescent="0.25">
      <c r="E253" s="1"/>
      <c r="G253" s="10"/>
      <c r="H253" s="10"/>
    </row>
    <row r="254" spans="5:8" x14ac:dyDescent="0.25">
      <c r="E254" s="1"/>
      <c r="G254" s="10"/>
      <c r="H254" s="10"/>
    </row>
    <row r="255" spans="5:8" x14ac:dyDescent="0.25">
      <c r="E255" s="1"/>
      <c r="G255" s="10"/>
      <c r="H255" s="10"/>
    </row>
    <row r="256" spans="5:8" x14ac:dyDescent="0.25">
      <c r="E256" s="1"/>
      <c r="G256" s="10"/>
      <c r="H256" s="10"/>
    </row>
    <row r="257" spans="5:8" x14ac:dyDescent="0.25">
      <c r="E257" s="1"/>
      <c r="G257" s="10"/>
      <c r="H257" s="10"/>
    </row>
    <row r="258" spans="5:8" x14ac:dyDescent="0.25">
      <c r="E258" s="1"/>
      <c r="G258" s="10"/>
      <c r="H258" s="10"/>
    </row>
    <row r="259" spans="5:8" x14ac:dyDescent="0.25">
      <c r="E259" s="1"/>
      <c r="G259" s="10"/>
      <c r="H259" s="10"/>
    </row>
    <row r="260" spans="5:8" x14ac:dyDescent="0.25">
      <c r="E260" s="1"/>
      <c r="G260" s="10"/>
      <c r="H260" s="10"/>
    </row>
    <row r="261" spans="5:8" x14ac:dyDescent="0.25">
      <c r="E261" s="1"/>
      <c r="G261" s="10"/>
      <c r="H261" s="10"/>
    </row>
    <row r="262" spans="5:8" x14ac:dyDescent="0.25">
      <c r="E262" s="1"/>
      <c r="G262" s="10"/>
      <c r="H262" s="10"/>
    </row>
    <row r="263" spans="5:8" x14ac:dyDescent="0.25">
      <c r="E263" s="1"/>
      <c r="G263" s="10"/>
      <c r="H263" s="10"/>
    </row>
    <row r="264" spans="5:8" x14ac:dyDescent="0.25">
      <c r="E264" s="1"/>
      <c r="G264" s="10"/>
      <c r="H264" s="10"/>
    </row>
    <row r="265" spans="5:8" x14ac:dyDescent="0.25">
      <c r="E265" s="1"/>
      <c r="G265" s="10"/>
      <c r="H265" s="10"/>
    </row>
    <row r="266" spans="5:8" x14ac:dyDescent="0.25">
      <c r="E266" s="1"/>
      <c r="G266" s="10"/>
      <c r="H266" s="10"/>
    </row>
    <row r="267" spans="5:8" x14ac:dyDescent="0.25">
      <c r="E267" s="1"/>
      <c r="G267" s="10"/>
      <c r="H267" s="10"/>
    </row>
    <row r="268" spans="5:8" x14ac:dyDescent="0.25">
      <c r="E268" s="1"/>
      <c r="G268" s="10"/>
      <c r="H268" s="10"/>
    </row>
    <row r="269" spans="5:8" x14ac:dyDescent="0.25">
      <c r="E269" s="1"/>
      <c r="G269" s="10"/>
      <c r="H269" s="10"/>
    </row>
    <row r="270" spans="5:8" x14ac:dyDescent="0.25">
      <c r="E270" s="1"/>
      <c r="G270" s="10"/>
      <c r="H270" s="10"/>
    </row>
    <row r="271" spans="5:8" x14ac:dyDescent="0.25">
      <c r="E271" s="1"/>
      <c r="G271" s="10"/>
      <c r="H271" s="10"/>
    </row>
    <row r="272" spans="5:8" x14ac:dyDescent="0.25">
      <c r="E272" s="1"/>
      <c r="G272" s="10"/>
      <c r="H272" s="10"/>
    </row>
    <row r="273" spans="5:8" x14ac:dyDescent="0.25">
      <c r="E273" s="1"/>
      <c r="G273" s="10"/>
      <c r="H273" s="10"/>
    </row>
    <row r="274" spans="5:8" x14ac:dyDescent="0.25">
      <c r="E274" s="1"/>
      <c r="G274" s="10"/>
      <c r="H274" s="10"/>
    </row>
    <row r="275" spans="5:8" x14ac:dyDescent="0.25">
      <c r="E275" s="1"/>
      <c r="G275" s="10"/>
      <c r="H275" s="10"/>
    </row>
    <row r="276" spans="5:8" x14ac:dyDescent="0.25">
      <c r="E276" s="1"/>
      <c r="G276" s="10"/>
      <c r="H276" s="10"/>
    </row>
    <row r="277" spans="5:8" x14ac:dyDescent="0.25">
      <c r="E277" s="1"/>
      <c r="G277" s="10"/>
      <c r="H277" s="10"/>
    </row>
    <row r="278" spans="5:8" x14ac:dyDescent="0.25">
      <c r="E278" s="1"/>
      <c r="G278" s="10"/>
      <c r="H278" s="10"/>
    </row>
    <row r="279" spans="5:8" x14ac:dyDescent="0.25">
      <c r="E279" s="1"/>
      <c r="G279" s="10"/>
      <c r="H279" s="10"/>
    </row>
    <row r="280" spans="5:8" x14ac:dyDescent="0.25">
      <c r="E280" s="1"/>
      <c r="G280" s="10"/>
      <c r="H280" s="10"/>
    </row>
    <row r="281" spans="5:8" x14ac:dyDescent="0.25">
      <c r="E281" s="1"/>
      <c r="G281" s="10"/>
      <c r="H281" s="10"/>
    </row>
    <row r="282" spans="5:8" x14ac:dyDescent="0.25">
      <c r="E282" s="1"/>
      <c r="G282" s="10"/>
      <c r="H282" s="10"/>
    </row>
    <row r="283" spans="5:8" x14ac:dyDescent="0.25">
      <c r="E283" s="1"/>
      <c r="G283" s="10"/>
      <c r="H283" s="10"/>
    </row>
    <row r="284" spans="5:8" x14ac:dyDescent="0.25">
      <c r="E284" s="1"/>
      <c r="G284" s="10"/>
      <c r="H284" s="10"/>
    </row>
    <row r="285" spans="5:8" x14ac:dyDescent="0.25">
      <c r="E285" s="1"/>
      <c r="G285" s="10"/>
      <c r="H285" s="10"/>
    </row>
    <row r="286" spans="5:8" x14ac:dyDescent="0.25">
      <c r="E286" s="1"/>
      <c r="G286" s="10"/>
      <c r="H286" s="10"/>
    </row>
    <row r="287" spans="5:8" x14ac:dyDescent="0.25">
      <c r="E287" s="1"/>
      <c r="G287" s="10"/>
      <c r="H287" s="10"/>
    </row>
    <row r="288" spans="5:8" x14ac:dyDescent="0.25">
      <c r="E288" s="1"/>
      <c r="G288" s="10"/>
      <c r="H288" s="10"/>
    </row>
    <row r="289" spans="5:8" x14ac:dyDescent="0.25">
      <c r="E289" s="1"/>
      <c r="G289" s="10"/>
      <c r="H289" s="10"/>
    </row>
    <row r="290" spans="5:8" x14ac:dyDescent="0.25">
      <c r="E290" s="1"/>
      <c r="G290" s="10"/>
      <c r="H290" s="10"/>
    </row>
    <row r="291" spans="5:8" x14ac:dyDescent="0.25">
      <c r="E291" s="1"/>
      <c r="G291" s="10"/>
      <c r="H291" s="10"/>
    </row>
    <row r="292" spans="5:8" x14ac:dyDescent="0.25">
      <c r="E292" s="1"/>
      <c r="G292" s="10"/>
      <c r="H292" s="10"/>
    </row>
    <row r="293" spans="5:8" x14ac:dyDescent="0.25">
      <c r="E293" s="1"/>
      <c r="G293" s="10"/>
      <c r="H293" s="10"/>
    </row>
    <row r="294" spans="5:8" x14ac:dyDescent="0.25">
      <c r="E294" s="1"/>
      <c r="G294" s="10"/>
      <c r="H294" s="10"/>
    </row>
    <row r="295" spans="5:8" x14ac:dyDescent="0.25">
      <c r="E295" s="1"/>
      <c r="G295" s="10"/>
      <c r="H295" s="10"/>
    </row>
    <row r="296" spans="5:8" x14ac:dyDescent="0.25">
      <c r="E296" s="1"/>
      <c r="G296" s="10"/>
      <c r="H296" s="10"/>
    </row>
    <row r="297" spans="5:8" x14ac:dyDescent="0.25">
      <c r="E297" s="1"/>
      <c r="G297" s="10"/>
      <c r="H297" s="10"/>
    </row>
    <row r="298" spans="5:8" x14ac:dyDescent="0.25">
      <c r="E298" s="1"/>
      <c r="G298" s="10"/>
      <c r="H298" s="10"/>
    </row>
    <row r="299" spans="5:8" x14ac:dyDescent="0.25">
      <c r="E299" s="1"/>
      <c r="G299" s="10"/>
      <c r="H299" s="10"/>
    </row>
    <row r="300" spans="5:8" x14ac:dyDescent="0.25">
      <c r="E300" s="1"/>
      <c r="G300" s="10"/>
      <c r="H300" s="10"/>
    </row>
    <row r="301" spans="5:8" x14ac:dyDescent="0.25">
      <c r="E301" s="1"/>
      <c r="G301" s="10"/>
      <c r="H301" s="10"/>
    </row>
    <row r="302" spans="5:8" x14ac:dyDescent="0.25">
      <c r="E302" s="1"/>
      <c r="G302" s="10"/>
      <c r="H302" s="10"/>
    </row>
    <row r="303" spans="5:8" x14ac:dyDescent="0.25">
      <c r="E303" s="1"/>
      <c r="G303" s="10"/>
      <c r="H303" s="10"/>
    </row>
    <row r="304" spans="5:8" x14ac:dyDescent="0.25">
      <c r="E304" s="1"/>
      <c r="G304" s="10"/>
      <c r="H304" s="10"/>
    </row>
    <row r="305" spans="5:8" x14ac:dyDescent="0.25">
      <c r="E305" s="1"/>
      <c r="G305" s="10"/>
      <c r="H305" s="10"/>
    </row>
    <row r="306" spans="5:8" x14ac:dyDescent="0.25">
      <c r="E306" s="1"/>
      <c r="G306" s="10"/>
      <c r="H306" s="10"/>
    </row>
    <row r="307" spans="5:8" x14ac:dyDescent="0.25">
      <c r="E307" s="1"/>
      <c r="G307" s="10"/>
      <c r="H307" s="10"/>
    </row>
    <row r="308" spans="5:8" x14ac:dyDescent="0.25">
      <c r="E308" s="1"/>
      <c r="G308" s="10"/>
      <c r="H308" s="10"/>
    </row>
    <row r="309" spans="5:8" x14ac:dyDescent="0.25">
      <c r="E309" s="1"/>
      <c r="G309" s="10"/>
      <c r="H309" s="10"/>
    </row>
    <row r="310" spans="5:8" x14ac:dyDescent="0.25">
      <c r="E310" s="1"/>
      <c r="G310" s="10"/>
      <c r="H310" s="10"/>
    </row>
    <row r="311" spans="5:8" x14ac:dyDescent="0.25">
      <c r="E311" s="1"/>
      <c r="G311" s="10"/>
      <c r="H311" s="10"/>
    </row>
    <row r="312" spans="5:8" x14ac:dyDescent="0.25">
      <c r="E312" s="1"/>
      <c r="G312" s="10"/>
      <c r="H312" s="10"/>
    </row>
    <row r="313" spans="5:8" x14ac:dyDescent="0.25">
      <c r="E313" s="1"/>
      <c r="G313" s="10"/>
      <c r="H313" s="10"/>
    </row>
    <row r="314" spans="5:8" x14ac:dyDescent="0.25">
      <c r="E314" s="1"/>
      <c r="G314" s="10"/>
      <c r="H314" s="10"/>
    </row>
    <row r="315" spans="5:8" x14ac:dyDescent="0.25">
      <c r="E315" s="1"/>
      <c r="G315" s="10"/>
      <c r="H315" s="10"/>
    </row>
    <row r="316" spans="5:8" x14ac:dyDescent="0.25">
      <c r="E316" s="1"/>
      <c r="G316" s="10"/>
      <c r="H316" s="10"/>
    </row>
    <row r="317" spans="5:8" x14ac:dyDescent="0.25">
      <c r="E317" s="1"/>
      <c r="G317" s="10"/>
      <c r="H317" s="10"/>
    </row>
    <row r="318" spans="5:8" x14ac:dyDescent="0.25">
      <c r="E318" s="1"/>
      <c r="G318" s="10"/>
      <c r="H318" s="10"/>
    </row>
    <row r="319" spans="5:8" x14ac:dyDescent="0.25">
      <c r="E319" s="1"/>
      <c r="G319" s="10"/>
      <c r="H319" s="10"/>
    </row>
    <row r="320" spans="5:8" x14ac:dyDescent="0.25">
      <c r="E320" s="1"/>
      <c r="G320" s="10"/>
      <c r="H320" s="10"/>
    </row>
    <row r="321" spans="5:8" x14ac:dyDescent="0.25">
      <c r="E321" s="1"/>
      <c r="G321" s="10"/>
      <c r="H321" s="10"/>
    </row>
    <row r="322" spans="5:8" x14ac:dyDescent="0.25">
      <c r="E322" s="1"/>
      <c r="G322" s="10"/>
      <c r="H322" s="10"/>
    </row>
    <row r="323" spans="5:8" x14ac:dyDescent="0.25">
      <c r="E323" s="1"/>
      <c r="G323" s="10"/>
      <c r="H323" s="10"/>
    </row>
    <row r="324" spans="5:8" x14ac:dyDescent="0.25">
      <c r="E324" s="1"/>
      <c r="G324" s="10"/>
      <c r="H324" s="10"/>
    </row>
    <row r="325" spans="5:8" x14ac:dyDescent="0.25">
      <c r="E325" s="1"/>
      <c r="G325" s="10"/>
      <c r="H325" s="10"/>
    </row>
    <row r="326" spans="5:8" x14ac:dyDescent="0.25">
      <c r="E326" s="1"/>
      <c r="G326" s="10"/>
      <c r="H326" s="10"/>
    </row>
    <row r="327" spans="5:8" x14ac:dyDescent="0.25">
      <c r="E327" s="1"/>
      <c r="G327" s="10"/>
      <c r="H327" s="10"/>
    </row>
    <row r="328" spans="5:8" x14ac:dyDescent="0.25">
      <c r="E328" s="1"/>
      <c r="G328" s="10"/>
      <c r="H328" s="10"/>
    </row>
    <row r="329" spans="5:8" x14ac:dyDescent="0.25">
      <c r="E329" s="1"/>
      <c r="G329" s="10"/>
      <c r="H329" s="10"/>
    </row>
    <row r="330" spans="5:8" x14ac:dyDescent="0.25">
      <c r="E330" s="1"/>
      <c r="G330" s="10"/>
      <c r="H330" s="10"/>
    </row>
    <row r="331" spans="5:8" x14ac:dyDescent="0.25">
      <c r="E331" s="1"/>
      <c r="G331" s="10"/>
      <c r="H331" s="10"/>
    </row>
    <row r="332" spans="5:8" x14ac:dyDescent="0.25">
      <c r="E332" s="1"/>
      <c r="G332" s="10"/>
      <c r="H332" s="10"/>
    </row>
    <row r="333" spans="5:8" x14ac:dyDescent="0.25">
      <c r="E333" s="1"/>
      <c r="G333" s="10"/>
      <c r="H333" s="10"/>
    </row>
    <row r="334" spans="5:8" x14ac:dyDescent="0.25">
      <c r="E334" s="1"/>
      <c r="G334" s="10"/>
      <c r="H334" s="10"/>
    </row>
    <row r="335" spans="5:8" x14ac:dyDescent="0.25">
      <c r="E335" s="1"/>
      <c r="G335" s="10"/>
      <c r="H335" s="10"/>
    </row>
    <row r="336" spans="5:8" x14ac:dyDescent="0.25">
      <c r="E336" s="1"/>
      <c r="G336" s="10"/>
      <c r="H336" s="10"/>
    </row>
    <row r="337" spans="5:8" x14ac:dyDescent="0.25">
      <c r="E337" s="1"/>
      <c r="G337" s="10"/>
      <c r="H337" s="10"/>
    </row>
    <row r="338" spans="5:8" x14ac:dyDescent="0.25">
      <c r="E338" s="1"/>
      <c r="G338" s="10"/>
      <c r="H338" s="10"/>
    </row>
    <row r="339" spans="5:8" x14ac:dyDescent="0.25">
      <c r="E339" s="1"/>
      <c r="G339" s="10"/>
      <c r="H339" s="10"/>
    </row>
    <row r="340" spans="5:8" x14ac:dyDescent="0.25">
      <c r="E340" s="1"/>
      <c r="G340" s="10"/>
      <c r="H340" s="10"/>
    </row>
    <row r="341" spans="5:8" x14ac:dyDescent="0.25">
      <c r="E341" s="1"/>
      <c r="G341" s="10"/>
      <c r="H341" s="10"/>
    </row>
    <row r="342" spans="5:8" x14ac:dyDescent="0.25">
      <c r="E342" s="1"/>
      <c r="G342" s="10"/>
      <c r="H342" s="10"/>
    </row>
    <row r="343" spans="5:8" x14ac:dyDescent="0.25">
      <c r="E343" s="1"/>
      <c r="G343" s="10"/>
      <c r="H343" s="10"/>
    </row>
    <row r="344" spans="5:8" x14ac:dyDescent="0.25">
      <c r="E344" s="1"/>
      <c r="G344" s="10"/>
      <c r="H344" s="10"/>
    </row>
    <row r="345" spans="5:8" x14ac:dyDescent="0.25">
      <c r="E345" s="1"/>
      <c r="G345" s="10"/>
      <c r="H345" s="10"/>
    </row>
    <row r="346" spans="5:8" x14ac:dyDescent="0.25">
      <c r="E346" s="1"/>
      <c r="G346" s="10"/>
      <c r="H346" s="10"/>
    </row>
    <row r="347" spans="5:8" x14ac:dyDescent="0.25">
      <c r="E347" s="1"/>
      <c r="G347" s="10"/>
      <c r="H347" s="10"/>
    </row>
    <row r="348" spans="5:8" x14ac:dyDescent="0.25">
      <c r="E348" s="1"/>
      <c r="G348" s="10"/>
      <c r="H348" s="10"/>
    </row>
    <row r="349" spans="5:8" x14ac:dyDescent="0.25">
      <c r="E349" s="1"/>
      <c r="G349" s="10"/>
      <c r="H349" s="10"/>
    </row>
    <row r="350" spans="5:8" x14ac:dyDescent="0.25">
      <c r="E350" s="1"/>
      <c r="G350" s="10"/>
      <c r="H350" s="10"/>
    </row>
    <row r="351" spans="5:8" x14ac:dyDescent="0.25">
      <c r="E351" s="1"/>
      <c r="G351" s="10"/>
      <c r="H351" s="10"/>
    </row>
    <row r="352" spans="5:8" x14ac:dyDescent="0.25">
      <c r="E352" s="1"/>
      <c r="G352" s="10"/>
      <c r="H352" s="10"/>
    </row>
    <row r="353" spans="5:8" x14ac:dyDescent="0.25">
      <c r="E353" s="1"/>
      <c r="G353" s="10"/>
      <c r="H353" s="10"/>
    </row>
    <row r="354" spans="5:8" x14ac:dyDescent="0.25">
      <c r="E354" s="1"/>
      <c r="G354" s="10"/>
      <c r="H354" s="10"/>
    </row>
    <row r="355" spans="5:8" x14ac:dyDescent="0.25">
      <c r="E355" s="1"/>
      <c r="G355" s="10"/>
      <c r="H355" s="10"/>
    </row>
    <row r="356" spans="5:8" x14ac:dyDescent="0.25">
      <c r="E356" s="1"/>
      <c r="G356" s="10"/>
      <c r="H356" s="10"/>
    </row>
    <row r="357" spans="5:8" x14ac:dyDescent="0.25">
      <c r="E357" s="1"/>
      <c r="G357" s="10"/>
      <c r="H357" s="10"/>
    </row>
    <row r="358" spans="5:8" x14ac:dyDescent="0.25">
      <c r="E358" s="1"/>
      <c r="G358" s="10"/>
      <c r="H358" s="10"/>
    </row>
    <row r="359" spans="5:8" x14ac:dyDescent="0.25">
      <c r="E359" s="1"/>
      <c r="G359" s="10"/>
      <c r="H359" s="10"/>
    </row>
    <row r="360" spans="5:8" x14ac:dyDescent="0.25">
      <c r="E360" s="1"/>
      <c r="G360" s="10"/>
      <c r="H360" s="10"/>
    </row>
    <row r="361" spans="5:8" x14ac:dyDescent="0.25">
      <c r="E361" s="1"/>
      <c r="G361" s="10"/>
      <c r="H361" s="10"/>
    </row>
    <row r="362" spans="5:8" x14ac:dyDescent="0.25">
      <c r="E362" s="1"/>
      <c r="G362" s="10"/>
      <c r="H362" s="10"/>
    </row>
    <row r="363" spans="5:8" x14ac:dyDescent="0.25">
      <c r="E363" s="1"/>
      <c r="G363" s="10"/>
      <c r="H363" s="10"/>
    </row>
    <row r="364" spans="5:8" x14ac:dyDescent="0.25">
      <c r="E364" s="1"/>
      <c r="G364" s="10"/>
      <c r="H364" s="10"/>
    </row>
    <row r="365" spans="5:8" x14ac:dyDescent="0.25">
      <c r="E365" s="1"/>
      <c r="G365" s="10"/>
      <c r="H365" s="10"/>
    </row>
    <row r="366" spans="5:8" x14ac:dyDescent="0.25">
      <c r="E366" s="1"/>
      <c r="G366" s="10"/>
      <c r="H366" s="10"/>
    </row>
    <row r="367" spans="5:8" x14ac:dyDescent="0.25">
      <c r="E367" s="1"/>
      <c r="G367" s="10"/>
      <c r="H367" s="10"/>
    </row>
    <row r="368" spans="5:8" x14ac:dyDescent="0.25">
      <c r="E368" s="1"/>
      <c r="G368" s="10"/>
      <c r="H368" s="10"/>
    </row>
    <row r="369" spans="5:8" x14ac:dyDescent="0.25">
      <c r="E369" s="1"/>
      <c r="G369" s="10"/>
      <c r="H369" s="10"/>
    </row>
    <row r="370" spans="5:8" x14ac:dyDescent="0.25">
      <c r="E370" s="1"/>
      <c r="G370" s="10"/>
      <c r="H370" s="10"/>
    </row>
    <row r="371" spans="5:8" x14ac:dyDescent="0.25">
      <c r="E371" s="1"/>
      <c r="G371" s="10"/>
      <c r="H371" s="10"/>
    </row>
    <row r="372" spans="5:8" x14ac:dyDescent="0.25">
      <c r="E372" s="1"/>
      <c r="G372" s="10"/>
      <c r="H372" s="10"/>
    </row>
    <row r="373" spans="5:8" x14ac:dyDescent="0.25">
      <c r="E373" s="1"/>
      <c r="G373" s="10"/>
      <c r="H373" s="10"/>
    </row>
    <row r="374" spans="5:8" x14ac:dyDescent="0.25">
      <c r="E374" s="1"/>
      <c r="G374" s="10"/>
      <c r="H374" s="10"/>
    </row>
    <row r="375" spans="5:8" x14ac:dyDescent="0.25">
      <c r="E375" s="1"/>
      <c r="G375" s="10"/>
      <c r="H375" s="10"/>
    </row>
    <row r="376" spans="5:8" x14ac:dyDescent="0.25">
      <c r="E376" s="1"/>
      <c r="G376" s="10"/>
      <c r="H376" s="10"/>
    </row>
    <row r="377" spans="5:8" x14ac:dyDescent="0.25">
      <c r="E377" s="1"/>
      <c r="G377" s="10"/>
      <c r="H377" s="10"/>
    </row>
    <row r="378" spans="5:8" x14ac:dyDescent="0.25">
      <c r="E378" s="1"/>
      <c r="G378" s="10"/>
      <c r="H378" s="10"/>
    </row>
    <row r="379" spans="5:8" x14ac:dyDescent="0.25">
      <c r="E379" s="1"/>
      <c r="G379" s="10"/>
      <c r="H379" s="10"/>
    </row>
    <row r="380" spans="5:8" x14ac:dyDescent="0.25">
      <c r="E380" s="1"/>
      <c r="G380" s="10"/>
      <c r="H380" s="10"/>
    </row>
    <row r="381" spans="5:8" x14ac:dyDescent="0.25">
      <c r="E381" s="1"/>
      <c r="G381" s="10"/>
      <c r="H381" s="10"/>
    </row>
    <row r="382" spans="5:8" x14ac:dyDescent="0.25">
      <c r="E382" s="1"/>
      <c r="G382" s="10"/>
      <c r="H382" s="10"/>
    </row>
    <row r="383" spans="5:8" x14ac:dyDescent="0.25">
      <c r="E383" s="1"/>
      <c r="G383" s="10"/>
      <c r="H383" s="10"/>
    </row>
    <row r="384" spans="5:8" x14ac:dyDescent="0.25">
      <c r="E384" s="1"/>
      <c r="G384" s="10"/>
      <c r="H384" s="10"/>
    </row>
    <row r="385" spans="5:8" x14ac:dyDescent="0.25">
      <c r="E385" s="1"/>
      <c r="G385" s="10"/>
      <c r="H385" s="10"/>
    </row>
    <row r="386" spans="5:8" x14ac:dyDescent="0.25">
      <c r="E386" s="1"/>
      <c r="G386" s="10"/>
      <c r="H386" s="10"/>
    </row>
    <row r="387" spans="5:8" x14ac:dyDescent="0.25">
      <c r="E387" s="1"/>
      <c r="G387" s="10"/>
      <c r="H387" s="10"/>
    </row>
    <row r="388" spans="5:8" x14ac:dyDescent="0.25">
      <c r="E388" s="1"/>
      <c r="G388" s="10"/>
      <c r="H388" s="10"/>
    </row>
    <row r="389" spans="5:8" x14ac:dyDescent="0.25">
      <c r="E389" s="1"/>
      <c r="G389" s="10"/>
      <c r="H389" s="10"/>
    </row>
    <row r="390" spans="5:8" x14ac:dyDescent="0.25">
      <c r="E390" s="1"/>
      <c r="G390" s="10"/>
      <c r="H390" s="10"/>
    </row>
    <row r="391" spans="5:8" x14ac:dyDescent="0.25">
      <c r="E391" s="1"/>
      <c r="G391" s="10"/>
      <c r="H391" s="10"/>
    </row>
    <row r="392" spans="5:8" x14ac:dyDescent="0.25">
      <c r="E392" s="1"/>
      <c r="G392" s="10"/>
      <c r="H392" s="10"/>
    </row>
    <row r="393" spans="5:8" x14ac:dyDescent="0.25">
      <c r="E393" s="1"/>
      <c r="G393" s="10"/>
      <c r="H393" s="10"/>
    </row>
    <row r="394" spans="5:8" x14ac:dyDescent="0.25">
      <c r="E394" s="1"/>
      <c r="G394" s="10"/>
      <c r="H394" s="10"/>
    </row>
    <row r="395" spans="5:8" x14ac:dyDescent="0.25">
      <c r="E395" s="1"/>
      <c r="G395" s="10"/>
      <c r="H395" s="10"/>
    </row>
    <row r="396" spans="5:8" x14ac:dyDescent="0.25">
      <c r="E396" s="1"/>
      <c r="G396" s="10"/>
      <c r="H396" s="10"/>
    </row>
    <row r="397" spans="5:8" x14ac:dyDescent="0.25">
      <c r="E397" s="1"/>
      <c r="G397" s="10"/>
      <c r="H397" s="10"/>
    </row>
    <row r="398" spans="5:8" x14ac:dyDescent="0.25">
      <c r="E398" s="1"/>
      <c r="G398" s="10"/>
      <c r="H398" s="10"/>
    </row>
    <row r="399" spans="5:8" x14ac:dyDescent="0.25">
      <c r="E399" s="1"/>
      <c r="G399" s="10"/>
      <c r="H399" s="10"/>
    </row>
    <row r="400" spans="5:8" x14ac:dyDescent="0.25">
      <c r="E400" s="1"/>
      <c r="G400" s="10"/>
      <c r="H400" s="10"/>
    </row>
    <row r="401" spans="5:8" x14ac:dyDescent="0.25">
      <c r="E401" s="1"/>
      <c r="G401" s="10"/>
      <c r="H401" s="10"/>
    </row>
    <row r="402" spans="5:8" x14ac:dyDescent="0.25">
      <c r="E402" s="1"/>
      <c r="G402" s="10"/>
      <c r="H402" s="10"/>
    </row>
    <row r="403" spans="5:8" x14ac:dyDescent="0.25">
      <c r="E403" s="1"/>
      <c r="G403" s="10"/>
      <c r="H403" s="10"/>
    </row>
    <row r="404" spans="5:8" x14ac:dyDescent="0.25">
      <c r="E404" s="1"/>
      <c r="G404" s="10"/>
      <c r="H404" s="10"/>
    </row>
    <row r="405" spans="5:8" x14ac:dyDescent="0.25">
      <c r="E405" s="1"/>
      <c r="G405" s="10"/>
      <c r="H405" s="10"/>
    </row>
    <row r="406" spans="5:8" x14ac:dyDescent="0.25">
      <c r="E406" s="1"/>
      <c r="G406" s="10"/>
      <c r="H406" s="10"/>
    </row>
    <row r="407" spans="5:8" x14ac:dyDescent="0.25">
      <c r="E407" s="1"/>
      <c r="G407" s="10"/>
      <c r="H407" s="10"/>
    </row>
    <row r="408" spans="5:8" x14ac:dyDescent="0.25">
      <c r="E408" s="1"/>
      <c r="G408" s="10"/>
      <c r="H408" s="10"/>
    </row>
    <row r="409" spans="5:8" x14ac:dyDescent="0.25">
      <c r="E409" s="1"/>
      <c r="G409" s="10"/>
      <c r="H409" s="10"/>
    </row>
    <row r="410" spans="5:8" x14ac:dyDescent="0.25">
      <c r="E410" s="1"/>
      <c r="G410" s="10"/>
      <c r="H410" s="10"/>
    </row>
    <row r="411" spans="5:8" x14ac:dyDescent="0.25">
      <c r="E411" s="1"/>
      <c r="G411" s="10"/>
      <c r="H411" s="10"/>
    </row>
    <row r="412" spans="5:8" x14ac:dyDescent="0.25">
      <c r="E412" s="1"/>
      <c r="G412" s="10"/>
      <c r="H412" s="10"/>
    </row>
    <row r="413" spans="5:8" x14ac:dyDescent="0.25">
      <c r="E413" s="1"/>
      <c r="G413" s="10"/>
      <c r="H413" s="10"/>
    </row>
    <row r="414" spans="5:8" x14ac:dyDescent="0.25">
      <c r="E414" s="1"/>
      <c r="G414" s="10"/>
      <c r="H414" s="10"/>
    </row>
    <row r="415" spans="5:8" x14ac:dyDescent="0.25">
      <c r="E415" s="1"/>
      <c r="G415" s="10"/>
      <c r="H415" s="10"/>
    </row>
    <row r="416" spans="5:8" x14ac:dyDescent="0.25">
      <c r="E416" s="1"/>
      <c r="G416" s="10"/>
      <c r="H416" s="10"/>
    </row>
    <row r="417" spans="5:8" x14ac:dyDescent="0.25">
      <c r="E417" s="1"/>
      <c r="G417" s="10"/>
      <c r="H417" s="10"/>
    </row>
    <row r="418" spans="5:8" x14ac:dyDescent="0.25">
      <c r="E418" s="1"/>
      <c r="G418" s="10"/>
      <c r="H418" s="10"/>
    </row>
    <row r="419" spans="5:8" x14ac:dyDescent="0.25">
      <c r="E419" s="1"/>
      <c r="G419" s="10"/>
      <c r="H419" s="10"/>
    </row>
    <row r="420" spans="5:8" x14ac:dyDescent="0.25">
      <c r="E420" s="1"/>
      <c r="G420" s="10"/>
      <c r="H420" s="10"/>
    </row>
    <row r="421" spans="5:8" x14ac:dyDescent="0.25">
      <c r="E421" s="1"/>
      <c r="G421" s="10"/>
      <c r="H421" s="10"/>
    </row>
    <row r="422" spans="5:8" x14ac:dyDescent="0.25">
      <c r="E422" s="1"/>
      <c r="G422" s="10"/>
      <c r="H422" s="10"/>
    </row>
    <row r="423" spans="5:8" x14ac:dyDescent="0.25">
      <c r="E423" s="1"/>
      <c r="G423" s="10"/>
      <c r="H423" s="10"/>
    </row>
    <row r="424" spans="5:8" x14ac:dyDescent="0.25">
      <c r="E424" s="1"/>
      <c r="G424" s="10"/>
      <c r="H424" s="10"/>
    </row>
    <row r="425" spans="5:8" x14ac:dyDescent="0.25">
      <c r="E425" s="1"/>
      <c r="G425" s="10"/>
      <c r="H425" s="10"/>
    </row>
    <row r="426" spans="5:8" x14ac:dyDescent="0.25">
      <c r="E426" s="1"/>
      <c r="G426" s="10"/>
      <c r="H426" s="10"/>
    </row>
    <row r="427" spans="5:8" x14ac:dyDescent="0.25">
      <c r="E427" s="1"/>
      <c r="G427" s="10"/>
      <c r="H427" s="10"/>
    </row>
    <row r="428" spans="5:8" x14ac:dyDescent="0.25">
      <c r="E428" s="1"/>
      <c r="G428" s="10"/>
      <c r="H428" s="10"/>
    </row>
    <row r="429" spans="5:8" x14ac:dyDescent="0.25">
      <c r="E429" s="1"/>
      <c r="G429" s="10"/>
      <c r="H429" s="10"/>
    </row>
    <row r="430" spans="5:8" x14ac:dyDescent="0.25">
      <c r="E430" s="1"/>
      <c r="G430" s="10"/>
      <c r="H430" s="10"/>
    </row>
    <row r="431" spans="5:8" x14ac:dyDescent="0.25">
      <c r="E431" s="1"/>
      <c r="G431" s="10"/>
      <c r="H431" s="10"/>
    </row>
    <row r="432" spans="5:8" x14ac:dyDescent="0.25">
      <c r="E432" s="1"/>
      <c r="G432" s="10"/>
      <c r="H432" s="10"/>
    </row>
    <row r="433" spans="5:8" x14ac:dyDescent="0.25">
      <c r="E433" s="1"/>
      <c r="G433" s="10"/>
      <c r="H433" s="10"/>
    </row>
    <row r="434" spans="5:8" x14ac:dyDescent="0.25">
      <c r="E434" s="1"/>
      <c r="G434" s="10"/>
      <c r="H434" s="10"/>
    </row>
    <row r="435" spans="5:8" x14ac:dyDescent="0.25">
      <c r="E435" s="1"/>
      <c r="G435" s="10"/>
      <c r="H435" s="10"/>
    </row>
    <row r="436" spans="5:8" x14ac:dyDescent="0.25">
      <c r="E436" s="1"/>
      <c r="G436" s="10"/>
      <c r="H436" s="10"/>
    </row>
    <row r="437" spans="5:8" x14ac:dyDescent="0.25">
      <c r="E437" s="1"/>
      <c r="G437" s="10"/>
      <c r="H437" s="10"/>
    </row>
    <row r="438" spans="5:8" x14ac:dyDescent="0.25">
      <c r="E438" s="1"/>
      <c r="G438" s="10"/>
      <c r="H438" s="10"/>
    </row>
    <row r="439" spans="5:8" x14ac:dyDescent="0.25">
      <c r="E439" s="1"/>
      <c r="G439" s="10"/>
      <c r="H439" s="10"/>
    </row>
    <row r="440" spans="5:8" x14ac:dyDescent="0.25">
      <c r="E440" s="1"/>
      <c r="G440" s="10"/>
      <c r="H440" s="10"/>
    </row>
    <row r="441" spans="5:8" x14ac:dyDescent="0.25">
      <c r="E441" s="1"/>
      <c r="G441" s="10"/>
      <c r="H441" s="10"/>
    </row>
    <row r="442" spans="5:8" x14ac:dyDescent="0.25">
      <c r="E442" s="1"/>
      <c r="G442" s="10"/>
      <c r="H442" s="10"/>
    </row>
    <row r="443" spans="5:8" x14ac:dyDescent="0.25">
      <c r="E443" s="1"/>
      <c r="G443" s="10"/>
      <c r="H443" s="10"/>
    </row>
    <row r="444" spans="5:8" x14ac:dyDescent="0.25">
      <c r="E444" s="1"/>
      <c r="G444" s="10"/>
      <c r="H444" s="10"/>
    </row>
    <row r="445" spans="5:8" x14ac:dyDescent="0.25">
      <c r="E445" s="1"/>
      <c r="G445" s="10"/>
      <c r="H445" s="10"/>
    </row>
    <row r="446" spans="5:8" x14ac:dyDescent="0.25">
      <c r="E446" s="1"/>
      <c r="G446" s="10"/>
      <c r="H446" s="10"/>
    </row>
    <row r="447" spans="5:8" x14ac:dyDescent="0.25">
      <c r="E447" s="1"/>
      <c r="G447" s="10"/>
      <c r="H447" s="10"/>
    </row>
    <row r="448" spans="5:8" x14ac:dyDescent="0.25">
      <c r="E448" s="1"/>
      <c r="G448" s="10"/>
      <c r="H448" s="10"/>
    </row>
    <row r="449" spans="5:8" x14ac:dyDescent="0.25">
      <c r="E449" s="1"/>
      <c r="G449" s="10"/>
      <c r="H449" s="10"/>
    </row>
    <row r="450" spans="5:8" x14ac:dyDescent="0.25">
      <c r="E450" s="1"/>
      <c r="G450" s="10"/>
      <c r="H450" s="10"/>
    </row>
    <row r="451" spans="5:8" x14ac:dyDescent="0.25">
      <c r="E451" s="1"/>
      <c r="G451" s="10"/>
      <c r="H451" s="10"/>
    </row>
    <row r="452" spans="5:8" x14ac:dyDescent="0.25">
      <c r="E452" s="1"/>
      <c r="G452" s="10"/>
      <c r="H452" s="10"/>
    </row>
    <row r="453" spans="5:8" x14ac:dyDescent="0.25">
      <c r="E453" s="1"/>
      <c r="G453" s="10"/>
      <c r="H453" s="10"/>
    </row>
    <row r="454" spans="5:8" x14ac:dyDescent="0.25">
      <c r="E454" s="1"/>
      <c r="G454" s="10"/>
      <c r="H454" s="10"/>
    </row>
    <row r="455" spans="5:8" x14ac:dyDescent="0.25">
      <c r="E455" s="1"/>
      <c r="G455" s="10"/>
      <c r="H455" s="10"/>
    </row>
    <row r="456" spans="5:8" x14ac:dyDescent="0.25">
      <c r="E456" s="1"/>
      <c r="G456" s="10"/>
      <c r="H456" s="10"/>
    </row>
    <row r="457" spans="5:8" x14ac:dyDescent="0.25">
      <c r="E457" s="1"/>
      <c r="G457" s="10"/>
      <c r="H457" s="10"/>
    </row>
    <row r="458" spans="5:8" x14ac:dyDescent="0.25">
      <c r="E458" s="1"/>
      <c r="G458" s="10"/>
      <c r="H458" s="10"/>
    </row>
    <row r="459" spans="5:8" x14ac:dyDescent="0.25">
      <c r="E459" s="1"/>
      <c r="G459" s="10"/>
      <c r="H459" s="10"/>
    </row>
    <row r="460" spans="5:8" x14ac:dyDescent="0.25">
      <c r="E460" s="1"/>
      <c r="G460" s="10"/>
      <c r="H460" s="10"/>
    </row>
    <row r="461" spans="5:8" x14ac:dyDescent="0.25">
      <c r="E461" s="1"/>
      <c r="G461" s="10"/>
      <c r="H461" s="10"/>
    </row>
    <row r="462" spans="5:8" x14ac:dyDescent="0.25">
      <c r="E462" s="1"/>
      <c r="G462" s="10"/>
      <c r="H462" s="10"/>
    </row>
    <row r="463" spans="5:8" x14ac:dyDescent="0.25">
      <c r="E463" s="1"/>
      <c r="G463" s="10"/>
      <c r="H463" s="10"/>
    </row>
    <row r="464" spans="5:8" x14ac:dyDescent="0.25">
      <c r="E464" s="1"/>
      <c r="G464" s="10"/>
      <c r="H464" s="10"/>
    </row>
    <row r="465" spans="5:8" x14ac:dyDescent="0.25">
      <c r="E465" s="1"/>
      <c r="G465" s="10"/>
      <c r="H465" s="10"/>
    </row>
    <row r="466" spans="5:8" x14ac:dyDescent="0.25">
      <c r="E466" s="1"/>
      <c r="G466" s="10"/>
      <c r="H466" s="10"/>
    </row>
    <row r="467" spans="5:8" x14ac:dyDescent="0.25">
      <c r="E467" s="1"/>
      <c r="G467" s="10"/>
      <c r="H467" s="10"/>
    </row>
    <row r="468" spans="5:8" x14ac:dyDescent="0.25">
      <c r="E468" s="1"/>
      <c r="G468" s="10"/>
      <c r="H468" s="10"/>
    </row>
    <row r="469" spans="5:8" x14ac:dyDescent="0.25">
      <c r="E469" s="1"/>
      <c r="G469" s="10"/>
      <c r="H469" s="10"/>
    </row>
    <row r="470" spans="5:8" x14ac:dyDescent="0.25">
      <c r="E470" s="1"/>
      <c r="G470" s="10"/>
      <c r="H470" s="10"/>
    </row>
    <row r="471" spans="5:8" x14ac:dyDescent="0.25">
      <c r="E471" s="1"/>
      <c r="G471" s="10"/>
      <c r="H471" s="10"/>
    </row>
    <row r="472" spans="5:8" x14ac:dyDescent="0.25">
      <c r="E472" s="1"/>
      <c r="G472" s="10"/>
      <c r="H472" s="10"/>
    </row>
    <row r="473" spans="5:8" x14ac:dyDescent="0.25">
      <c r="E473" s="1"/>
      <c r="G473" s="10"/>
      <c r="H473" s="10"/>
    </row>
    <row r="474" spans="5:8" x14ac:dyDescent="0.25">
      <c r="E474" s="1"/>
      <c r="G474" s="10"/>
      <c r="H474" s="10"/>
    </row>
    <row r="475" spans="5:8" x14ac:dyDescent="0.25">
      <c r="E475" s="1"/>
      <c r="G475" s="10"/>
      <c r="H475" s="10"/>
    </row>
    <row r="476" spans="5:8" x14ac:dyDescent="0.25">
      <c r="E476" s="1"/>
      <c r="G476" s="10"/>
      <c r="H476" s="10"/>
    </row>
    <row r="477" spans="5:8" x14ac:dyDescent="0.25">
      <c r="E477" s="1"/>
      <c r="G477" s="10"/>
      <c r="H477" s="10"/>
    </row>
    <row r="478" spans="5:8" x14ac:dyDescent="0.25">
      <c r="E478" s="1"/>
      <c r="G478" s="10"/>
      <c r="H478" s="10"/>
    </row>
    <row r="479" spans="5:8" x14ac:dyDescent="0.25">
      <c r="E479" s="1"/>
      <c r="G479" s="10"/>
      <c r="H479" s="10"/>
    </row>
    <row r="480" spans="5:8" x14ac:dyDescent="0.25">
      <c r="E480" s="1"/>
      <c r="G480" s="10"/>
      <c r="H480" s="10"/>
    </row>
    <row r="481" spans="5:8" x14ac:dyDescent="0.25">
      <c r="E481" s="1"/>
      <c r="G481" s="10"/>
      <c r="H481" s="10"/>
    </row>
    <row r="482" spans="5:8" x14ac:dyDescent="0.25">
      <c r="E482" s="1"/>
      <c r="G482" s="10"/>
      <c r="H482" s="10"/>
    </row>
    <row r="483" spans="5:8" x14ac:dyDescent="0.25">
      <c r="E483" s="1"/>
      <c r="G483" s="10"/>
      <c r="H483" s="10"/>
    </row>
    <row r="484" spans="5:8" x14ac:dyDescent="0.25">
      <c r="E484" s="1"/>
      <c r="G484" s="10"/>
      <c r="H484" s="10"/>
    </row>
    <row r="485" spans="5:8" x14ac:dyDescent="0.25">
      <c r="E485" s="1"/>
      <c r="G485" s="10"/>
      <c r="H485" s="10"/>
    </row>
    <row r="486" spans="5:8" x14ac:dyDescent="0.25">
      <c r="E486" s="1"/>
      <c r="G486" s="10"/>
      <c r="H486" s="10"/>
    </row>
    <row r="487" spans="5:8" x14ac:dyDescent="0.25">
      <c r="E487" s="1"/>
      <c r="G487" s="10"/>
      <c r="H487" s="10"/>
    </row>
    <row r="488" spans="5:8" x14ac:dyDescent="0.25">
      <c r="E488" s="1"/>
      <c r="G488" s="10"/>
      <c r="H488" s="10"/>
    </row>
    <row r="489" spans="5:8" x14ac:dyDescent="0.25">
      <c r="E489" s="1"/>
      <c r="G489" s="10"/>
      <c r="H489" s="10"/>
    </row>
    <row r="490" spans="5:8" x14ac:dyDescent="0.25">
      <c r="E490" s="1"/>
      <c r="G490" s="10"/>
      <c r="H490" s="10"/>
    </row>
    <row r="491" spans="5:8" x14ac:dyDescent="0.25">
      <c r="E491" s="1"/>
      <c r="G491" s="10"/>
      <c r="H491" s="10"/>
    </row>
    <row r="492" spans="5:8" x14ac:dyDescent="0.25">
      <c r="E492" s="1"/>
      <c r="G492" s="10"/>
      <c r="H492" s="10"/>
    </row>
    <row r="493" spans="5:8" x14ac:dyDescent="0.25">
      <c r="E493" s="1" t="e">
        <f>VLOOKUP(D493, Home!$B$2:$C$100, 2, FALSE)</f>
        <v>#N/A</v>
      </c>
      <c r="G493" s="10" t="e">
        <f>VLOOKUP(D493, Home!$B$2:$G$1002, 6, FALSE)</f>
        <v>#N/A</v>
      </c>
      <c r="H493" s="10" t="e">
        <f t="shared" ref="H493:H502" si="2">F493*G493</f>
        <v>#N/A</v>
      </c>
    </row>
    <row r="494" spans="5:8" x14ac:dyDescent="0.25">
      <c r="E494" s="1" t="e">
        <f>VLOOKUP(D494, Home!$B$2:$C$100, 2, FALSE)</f>
        <v>#N/A</v>
      </c>
      <c r="G494" s="10" t="e">
        <f>VLOOKUP(D494, Home!$B$2:$G$1002, 6, FALSE)</f>
        <v>#N/A</v>
      </c>
      <c r="H494" s="10" t="e">
        <f t="shared" si="2"/>
        <v>#N/A</v>
      </c>
    </row>
    <row r="495" spans="5:8" x14ac:dyDescent="0.25">
      <c r="E495" s="1" t="e">
        <f>VLOOKUP(D495, Home!$B$2:$C$100, 2, FALSE)</f>
        <v>#N/A</v>
      </c>
      <c r="G495" s="10" t="e">
        <f>VLOOKUP(D495, Home!$B$2:$G$1002, 6, FALSE)</f>
        <v>#N/A</v>
      </c>
      <c r="H495" s="10" t="e">
        <f t="shared" si="2"/>
        <v>#N/A</v>
      </c>
    </row>
    <row r="496" spans="5:8" x14ac:dyDescent="0.25">
      <c r="E496" s="1" t="e">
        <f>VLOOKUP(D496, Home!$B$2:$C$100, 2, FALSE)</f>
        <v>#N/A</v>
      </c>
      <c r="G496" s="10" t="e">
        <f>VLOOKUP(D496, Home!$B$2:$G$1002, 6, FALSE)</f>
        <v>#N/A</v>
      </c>
      <c r="H496" s="10" t="e">
        <f t="shared" si="2"/>
        <v>#N/A</v>
      </c>
    </row>
    <row r="497" spans="5:8" x14ac:dyDescent="0.25">
      <c r="E497" s="1" t="e">
        <f>VLOOKUP(D497, Home!$B$2:$C$100, 2, FALSE)</f>
        <v>#N/A</v>
      </c>
      <c r="G497" s="10" t="e">
        <f>VLOOKUP(D497, Home!$B$2:$G$1002, 6, FALSE)</f>
        <v>#N/A</v>
      </c>
      <c r="H497" s="10" t="e">
        <f t="shared" si="2"/>
        <v>#N/A</v>
      </c>
    </row>
    <row r="498" spans="5:8" x14ac:dyDescent="0.25">
      <c r="E498" s="1" t="e">
        <f>VLOOKUP(D498, Home!$B$2:$C$100, 2, FALSE)</f>
        <v>#N/A</v>
      </c>
      <c r="G498" s="10" t="e">
        <f>VLOOKUP(D498, Home!$B$2:$G$1002, 6, FALSE)</f>
        <v>#N/A</v>
      </c>
      <c r="H498" s="10" t="e">
        <f t="shared" si="2"/>
        <v>#N/A</v>
      </c>
    </row>
    <row r="499" spans="5:8" x14ac:dyDescent="0.25">
      <c r="E499" s="1" t="e">
        <f>VLOOKUP(D499, Home!$B$2:$C$100, 2, FALSE)</f>
        <v>#N/A</v>
      </c>
      <c r="G499" s="10" t="e">
        <f>VLOOKUP(D499, Home!$B$2:$G$1002, 6, FALSE)</f>
        <v>#N/A</v>
      </c>
      <c r="H499" s="10" t="e">
        <f t="shared" si="2"/>
        <v>#N/A</v>
      </c>
    </row>
    <row r="500" spans="5:8" x14ac:dyDescent="0.25">
      <c r="E500" s="1" t="e">
        <f>VLOOKUP(D500, Home!$B$2:$C$100, 2, FALSE)</f>
        <v>#N/A</v>
      </c>
      <c r="G500" s="10" t="e">
        <f>VLOOKUP(D500, Home!$B$2:$G$1002, 6, FALSE)</f>
        <v>#N/A</v>
      </c>
      <c r="H500" s="10" t="e">
        <f t="shared" si="2"/>
        <v>#N/A</v>
      </c>
    </row>
    <row r="501" spans="5:8" x14ac:dyDescent="0.25">
      <c r="E501" s="1" t="e">
        <f>VLOOKUP(D501, Home!$B$2:$C$100, 2, FALSE)</f>
        <v>#N/A</v>
      </c>
      <c r="G501" s="10" t="e">
        <f>VLOOKUP(D501, Home!$B$2:$G$1002, 6, FALSE)</f>
        <v>#N/A</v>
      </c>
      <c r="H501" s="10" t="e">
        <f t="shared" si="2"/>
        <v>#N/A</v>
      </c>
    </row>
    <row r="502" spans="5:8" x14ac:dyDescent="0.25">
      <c r="E502" s="1" t="e">
        <f>VLOOKUP(D502, Home!$B$2:$C$100, 2, FALSE)</f>
        <v>#N/A</v>
      </c>
      <c r="G502" s="10" t="e">
        <f>VLOOKUP(D502, Home!$B$2:$G$1002, 6, FALSE)</f>
        <v>#N/A</v>
      </c>
      <c r="H502" s="10" t="e">
        <f t="shared" si="2"/>
        <v>#N/A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E01D-A5DD-4DF6-9787-CEC870E46AE1}">
  <dimension ref="A1:F32"/>
  <sheetViews>
    <sheetView rightToLeft="1" workbookViewId="0">
      <selection activeCell="G1" sqref="G1:G1048576"/>
    </sheetView>
  </sheetViews>
  <sheetFormatPr defaultRowHeight="15" x14ac:dyDescent="0.25"/>
  <cols>
    <col min="1" max="1" width="12.85546875" style="4" customWidth="1"/>
    <col min="2" max="2" width="17.42578125" style="6" customWidth="1"/>
    <col min="3" max="3" width="19.7109375" customWidth="1"/>
    <col min="4" max="4" width="16.7109375" customWidth="1"/>
    <col min="5" max="5" width="12.85546875" customWidth="1"/>
  </cols>
  <sheetData>
    <row r="1" spans="1:6" x14ac:dyDescent="0.25">
      <c r="A1" s="4" t="s">
        <v>84</v>
      </c>
      <c r="B1" s="6" t="s">
        <v>67</v>
      </c>
      <c r="C1" t="s">
        <v>82</v>
      </c>
      <c r="D1" t="s">
        <v>69</v>
      </c>
      <c r="E1" t="s">
        <v>85</v>
      </c>
      <c r="F1" t="s">
        <v>86</v>
      </c>
    </row>
    <row r="2" spans="1:6" x14ac:dyDescent="0.25">
      <c r="A2" s="5">
        <v>45880</v>
      </c>
      <c r="B2" s="6">
        <v>1</v>
      </c>
      <c r="C2" s="1" t="s">
        <v>38</v>
      </c>
      <c r="D2" s="9">
        <v>30640</v>
      </c>
      <c r="E2" s="1">
        <v>25000</v>
      </c>
      <c r="F2">
        <f>SUM(Table1[[#This Row],[total]]-Table1[[#This Row],[pay]])</f>
        <v>5640</v>
      </c>
    </row>
    <row r="3" spans="1:6" x14ac:dyDescent="0.25">
      <c r="A3" s="5">
        <v>45728</v>
      </c>
      <c r="B3" s="6">
        <v>2</v>
      </c>
      <c r="C3" s="1" t="s">
        <v>39</v>
      </c>
      <c r="D3" s="9">
        <v>2900</v>
      </c>
      <c r="E3" s="1">
        <v>2900</v>
      </c>
      <c r="F3">
        <f>SUM(Table1[[#This Row],[total]]-Table1[[#This Row],[pay]])</f>
        <v>0</v>
      </c>
    </row>
    <row r="4" spans="1:6" x14ac:dyDescent="0.25">
      <c r="A4" s="5">
        <v>45729</v>
      </c>
      <c r="B4" s="6">
        <v>3</v>
      </c>
      <c r="C4" s="1" t="s">
        <v>40</v>
      </c>
      <c r="D4" s="9">
        <v>3660</v>
      </c>
      <c r="E4" s="1">
        <v>2000</v>
      </c>
      <c r="F4">
        <f>SUM(Table1[[#This Row],[total]]-Table1[[#This Row],[pay]])</f>
        <v>1660</v>
      </c>
    </row>
    <row r="5" spans="1:6" x14ac:dyDescent="0.25">
      <c r="A5" s="5">
        <v>45730</v>
      </c>
      <c r="B5" s="6">
        <v>4</v>
      </c>
      <c r="C5" s="1" t="s">
        <v>40</v>
      </c>
      <c r="D5" s="9">
        <v>1000</v>
      </c>
      <c r="E5" s="1">
        <v>0</v>
      </c>
      <c r="F5" s="7">
        <f>SUM(Table1[[#This Row],[total]]-Table1[[#This Row],[pay]])</f>
        <v>1000</v>
      </c>
    </row>
    <row r="6" spans="1:6" x14ac:dyDescent="0.25">
      <c r="A6" s="5">
        <v>45761</v>
      </c>
      <c r="B6" s="6">
        <v>5</v>
      </c>
      <c r="C6" s="1" t="s">
        <v>40</v>
      </c>
      <c r="D6" s="9">
        <v>1000</v>
      </c>
      <c r="E6" s="1">
        <v>1000</v>
      </c>
      <c r="F6">
        <f>SUM(Table1[[#This Row],[total]]-Table1[[#This Row],[pay]])</f>
        <v>0</v>
      </c>
    </row>
    <row r="7" spans="1:6" x14ac:dyDescent="0.25">
      <c r="A7" s="5">
        <v>45762</v>
      </c>
      <c r="B7" s="6">
        <v>6</v>
      </c>
      <c r="C7" s="1" t="s">
        <v>41</v>
      </c>
      <c r="D7" s="1">
        <v>400</v>
      </c>
      <c r="E7" s="1">
        <v>400</v>
      </c>
      <c r="F7">
        <f>SUM(Table1[[#This Row],[total]]-Table1[[#This Row],[pay]])</f>
        <v>0</v>
      </c>
    </row>
    <row r="8" spans="1:6" x14ac:dyDescent="0.25">
      <c r="A8" s="5">
        <v>45763</v>
      </c>
      <c r="B8" s="6">
        <v>7</v>
      </c>
      <c r="C8" s="1" t="s">
        <v>42</v>
      </c>
      <c r="D8" s="1">
        <v>13240</v>
      </c>
      <c r="E8" s="1">
        <v>13240</v>
      </c>
      <c r="F8">
        <f>SUM(Table1[[#This Row],[total]]-Table1[[#This Row],[pay]])</f>
        <v>0</v>
      </c>
    </row>
    <row r="9" spans="1:6" x14ac:dyDescent="0.25">
      <c r="A9" s="5">
        <v>45794</v>
      </c>
      <c r="B9" s="6">
        <v>8</v>
      </c>
      <c r="C9" s="1" t="s">
        <v>43</v>
      </c>
      <c r="D9" s="1">
        <v>2400</v>
      </c>
      <c r="E9" s="1">
        <v>2000</v>
      </c>
      <c r="F9">
        <f>SUM(Table1[[#This Row],[total]]-Table1[[#This Row],[pay]])</f>
        <v>400</v>
      </c>
    </row>
    <row r="10" spans="1:6" x14ac:dyDescent="0.25">
      <c r="A10" s="5">
        <v>45795</v>
      </c>
      <c r="B10" s="6">
        <v>9</v>
      </c>
      <c r="C10" s="1" t="s">
        <v>46</v>
      </c>
      <c r="D10" s="1">
        <v>28450</v>
      </c>
      <c r="E10" s="1">
        <v>0</v>
      </c>
      <c r="F10">
        <f>SUM(Table1[[#This Row],[total]]-Table1[[#This Row],[pay]])</f>
        <v>28450</v>
      </c>
    </row>
    <row r="11" spans="1:6" x14ac:dyDescent="0.25">
      <c r="A11" s="5">
        <v>45827</v>
      </c>
      <c r="B11" s="6">
        <v>10</v>
      </c>
      <c r="C11" t="s">
        <v>44</v>
      </c>
      <c r="D11" s="8">
        <v>3250</v>
      </c>
      <c r="E11">
        <v>3250</v>
      </c>
      <c r="F11">
        <f>SUM(Table1[[#This Row],[total]]-Table1[[#This Row],[pay]])</f>
        <v>0</v>
      </c>
    </row>
    <row r="12" spans="1:6" x14ac:dyDescent="0.25">
      <c r="A12" s="5">
        <v>45828</v>
      </c>
      <c r="B12" s="6">
        <v>11</v>
      </c>
      <c r="C12" t="s">
        <v>45</v>
      </c>
      <c r="D12" s="8">
        <v>4400</v>
      </c>
      <c r="E12">
        <v>0</v>
      </c>
      <c r="F12">
        <f>SUM(Table1[[#This Row],[total]]-Table1[[#This Row],[pay]])</f>
        <v>4400</v>
      </c>
    </row>
    <row r="13" spans="1:6" x14ac:dyDescent="0.25">
      <c r="A13" s="4">
        <v>45880</v>
      </c>
      <c r="B13" s="6">
        <v>12</v>
      </c>
      <c r="C13" t="s">
        <v>47</v>
      </c>
      <c r="D13" s="8">
        <v>6425</v>
      </c>
      <c r="E13">
        <v>0</v>
      </c>
      <c r="F13" s="7">
        <f>SUM(Table1[[#This Row],[total]]-Table1[[#This Row],[pay]])</f>
        <v>6425</v>
      </c>
    </row>
    <row r="14" spans="1:6" x14ac:dyDescent="0.25">
      <c r="A14" s="4">
        <v>45880</v>
      </c>
      <c r="B14" s="6">
        <v>13</v>
      </c>
      <c r="C14" s="10" t="s">
        <v>44</v>
      </c>
      <c r="D14">
        <v>2300</v>
      </c>
      <c r="E14">
        <v>3550</v>
      </c>
      <c r="F14" s="7">
        <f>SUM(Table1[[#This Row],[total]]-Table1[[#This Row],[pay]])</f>
        <v>-1250</v>
      </c>
    </row>
    <row r="15" spans="1:6" x14ac:dyDescent="0.25">
      <c r="A15" s="4">
        <v>45880</v>
      </c>
      <c r="B15" s="6">
        <v>14</v>
      </c>
      <c r="C15" s="10" t="s">
        <v>49</v>
      </c>
      <c r="D15">
        <v>2550</v>
      </c>
      <c r="E15">
        <v>0</v>
      </c>
      <c r="F15" s="7">
        <f>SUM(Table1[[#This Row],[total]]-Table1[[#This Row],[pay]])</f>
        <v>2550</v>
      </c>
    </row>
    <row r="16" spans="1:6" x14ac:dyDescent="0.25">
      <c r="A16" s="4">
        <v>45880</v>
      </c>
      <c r="B16" s="6">
        <v>15</v>
      </c>
      <c r="C16" s="10" t="s">
        <v>53</v>
      </c>
      <c r="D16">
        <v>1100</v>
      </c>
      <c r="E16">
        <v>0</v>
      </c>
      <c r="F16" s="7">
        <f>SUM(Table1[[#This Row],[total]]-Table1[[#This Row],[pay]])</f>
        <v>1100</v>
      </c>
    </row>
    <row r="17" spans="1:6" x14ac:dyDescent="0.25">
      <c r="A17" s="4">
        <v>45941</v>
      </c>
      <c r="B17" s="6">
        <v>16</v>
      </c>
      <c r="C17" t="s">
        <v>51</v>
      </c>
      <c r="D17">
        <v>62830</v>
      </c>
      <c r="E17">
        <v>0</v>
      </c>
      <c r="F17" s="7">
        <f>SUM(Table1[[#This Row],[total]]-Table1[[#This Row],[pay]])</f>
        <v>62830</v>
      </c>
    </row>
    <row r="18" spans="1:6" x14ac:dyDescent="0.25">
      <c r="A18" s="4">
        <v>45972</v>
      </c>
      <c r="B18" s="6">
        <v>17</v>
      </c>
      <c r="C18" s="10" t="s">
        <v>44</v>
      </c>
      <c r="D18">
        <v>2800</v>
      </c>
      <c r="E18">
        <v>0</v>
      </c>
      <c r="F18" s="7">
        <f>SUM(Table1[[#This Row],[total]]-Table1[[#This Row],[pay]])</f>
        <v>2800</v>
      </c>
    </row>
    <row r="19" spans="1:6" x14ac:dyDescent="0.25">
      <c r="A19" s="4">
        <v>45941</v>
      </c>
      <c r="B19" s="6">
        <v>18</v>
      </c>
      <c r="C19" t="s">
        <v>52</v>
      </c>
      <c r="D19">
        <v>10800</v>
      </c>
      <c r="E19">
        <v>0</v>
      </c>
      <c r="F19" s="7">
        <f>SUM(Table1[[#This Row],[total]]-Table1[[#This Row],[pay]])</f>
        <v>10800</v>
      </c>
    </row>
    <row r="20" spans="1:6" x14ac:dyDescent="0.25">
      <c r="A20" s="4">
        <v>45941</v>
      </c>
      <c r="B20" s="6">
        <v>19</v>
      </c>
      <c r="C20" t="s">
        <v>49</v>
      </c>
      <c r="D20">
        <v>2720</v>
      </c>
      <c r="E20">
        <v>0</v>
      </c>
      <c r="F20" s="7">
        <f>SUM(Table1[[#This Row],[total]]-Table1[[#This Row],[pay]])</f>
        <v>2720</v>
      </c>
    </row>
    <row r="21" spans="1:6" x14ac:dyDescent="0.25">
      <c r="A21" s="4">
        <v>45972</v>
      </c>
      <c r="B21" s="6">
        <v>20</v>
      </c>
      <c r="C21" t="s">
        <v>66</v>
      </c>
      <c r="D21">
        <v>36470</v>
      </c>
      <c r="E21">
        <v>0</v>
      </c>
      <c r="F21" s="7">
        <f>SUM(Table1[[#This Row],[total]]-Table1[[#This Row],[pay]])</f>
        <v>36470</v>
      </c>
    </row>
    <row r="22" spans="1:6" x14ac:dyDescent="0.25">
      <c r="A22" s="4">
        <v>45972</v>
      </c>
      <c r="B22" s="6">
        <v>21</v>
      </c>
      <c r="C22" s="1" t="s">
        <v>40</v>
      </c>
      <c r="D22">
        <v>2000</v>
      </c>
      <c r="E22">
        <v>0</v>
      </c>
      <c r="F22" s="7">
        <f>SUM(Table1[[#This Row],[total]]-Table1[[#This Row],[pay]])</f>
        <v>2000</v>
      </c>
    </row>
    <row r="23" spans="1:6" x14ac:dyDescent="0.25">
      <c r="A23" s="4">
        <v>45972</v>
      </c>
      <c r="B23" s="6">
        <v>22</v>
      </c>
      <c r="C23" s="10" t="s">
        <v>53</v>
      </c>
      <c r="D23">
        <v>1150</v>
      </c>
      <c r="E23">
        <v>0</v>
      </c>
      <c r="F23" s="7">
        <f>SUM(Table1[[#This Row],[total]]-Table1[[#This Row],[pay]])</f>
        <v>1150</v>
      </c>
    </row>
    <row r="24" spans="1:6" x14ac:dyDescent="0.25">
      <c r="A24" s="4">
        <v>45972</v>
      </c>
      <c r="B24" s="6">
        <v>23</v>
      </c>
      <c r="C24" s="10" t="s">
        <v>53</v>
      </c>
      <c r="D24">
        <v>2500</v>
      </c>
      <c r="E24">
        <v>0</v>
      </c>
      <c r="F24" s="7">
        <f>SUM(Table1[[#This Row],[total]]-Table1[[#This Row],[pay]])</f>
        <v>2500</v>
      </c>
    </row>
    <row r="25" spans="1:6" x14ac:dyDescent="0.25">
      <c r="A25" s="4">
        <v>46002</v>
      </c>
      <c r="B25" s="6">
        <v>24</v>
      </c>
      <c r="C25" t="s">
        <v>66</v>
      </c>
      <c r="D25">
        <v>8600</v>
      </c>
      <c r="E25">
        <v>0</v>
      </c>
      <c r="F25" s="7">
        <f>SUM(Table1[[#This Row],[total]]-Table1[[#This Row],[pay]])</f>
        <v>8600</v>
      </c>
    </row>
    <row r="26" spans="1:6" x14ac:dyDescent="0.25">
      <c r="E26">
        <f>SUM(Table1[pay])</f>
        <v>53340</v>
      </c>
      <c r="F26" s="7">
        <f>SUM(Table1[on_account])</f>
        <v>180245</v>
      </c>
    </row>
    <row r="27" spans="1:6" x14ac:dyDescent="0.25">
      <c r="F27" cm="1">
        <f t="array" ref="F27">SUM(Table1[pay]+Table1[on_account])</f>
        <v>233585</v>
      </c>
    </row>
    <row r="32" spans="1:6" x14ac:dyDescent="0.25">
      <c r="F32" s="7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AC02-1BB1-40F6-8A36-C0A8DB3C31FC}">
  <dimension ref="A1:D17"/>
  <sheetViews>
    <sheetView rightToLeft="1" workbookViewId="0">
      <selection activeCell="G9" sqref="G9"/>
    </sheetView>
  </sheetViews>
  <sheetFormatPr defaultRowHeight="15" x14ac:dyDescent="0.25"/>
  <cols>
    <col min="1" max="1" width="23.7109375" bestFit="1" customWidth="1"/>
    <col min="2" max="2" width="17.5703125" bestFit="1" customWidth="1"/>
    <col min="3" max="3" width="14.140625" bestFit="1" customWidth="1"/>
    <col min="4" max="4" width="12.85546875" bestFit="1" customWidth="1"/>
  </cols>
  <sheetData>
    <row r="1" spans="1:4" x14ac:dyDescent="0.25">
      <c r="A1" s="11" t="s">
        <v>54</v>
      </c>
      <c r="B1" s="10" t="s">
        <v>56</v>
      </c>
      <c r="C1" s="10" t="s">
        <v>57</v>
      </c>
      <c r="D1" s="10" t="s">
        <v>58</v>
      </c>
    </row>
    <row r="2" spans="1:4" x14ac:dyDescent="0.25">
      <c r="A2" s="12" t="s">
        <v>41</v>
      </c>
      <c r="B2" s="7">
        <v>400</v>
      </c>
      <c r="C2" s="7">
        <v>400</v>
      </c>
      <c r="D2" s="7">
        <v>0</v>
      </c>
    </row>
    <row r="3" spans="1:4" x14ac:dyDescent="0.25">
      <c r="A3" s="12" t="s">
        <v>45</v>
      </c>
      <c r="B3" s="7">
        <v>4400</v>
      </c>
      <c r="C3" s="7">
        <v>0</v>
      </c>
      <c r="D3" s="7">
        <v>4400</v>
      </c>
    </row>
    <row r="4" spans="1:4" x14ac:dyDescent="0.25">
      <c r="A4" s="12" t="s">
        <v>47</v>
      </c>
      <c r="B4" s="7">
        <v>6425</v>
      </c>
      <c r="C4" s="7">
        <v>0</v>
      </c>
      <c r="D4" s="7">
        <v>6425</v>
      </c>
    </row>
    <row r="5" spans="1:4" x14ac:dyDescent="0.25">
      <c r="A5" s="12" t="s">
        <v>42</v>
      </c>
      <c r="B5" s="7">
        <v>13240</v>
      </c>
      <c r="C5" s="7">
        <v>13240</v>
      </c>
      <c r="D5" s="7">
        <v>0</v>
      </c>
    </row>
    <row r="6" spans="1:4" x14ac:dyDescent="0.25">
      <c r="A6" s="12" t="s">
        <v>51</v>
      </c>
      <c r="B6" s="7">
        <v>62830</v>
      </c>
      <c r="C6" s="7">
        <v>0</v>
      </c>
      <c r="D6" s="7">
        <v>62830</v>
      </c>
    </row>
    <row r="7" spans="1:4" x14ac:dyDescent="0.25">
      <c r="A7" s="12" t="s">
        <v>39</v>
      </c>
      <c r="B7" s="7">
        <v>2900</v>
      </c>
      <c r="C7" s="7">
        <v>2900</v>
      </c>
      <c r="D7" s="7">
        <v>0</v>
      </c>
    </row>
    <row r="8" spans="1:4" x14ac:dyDescent="0.25">
      <c r="A8" s="12" t="s">
        <v>52</v>
      </c>
      <c r="B8" s="7">
        <v>10800</v>
      </c>
      <c r="C8" s="7">
        <v>0</v>
      </c>
      <c r="D8" s="7">
        <v>10800</v>
      </c>
    </row>
    <row r="9" spans="1:4" x14ac:dyDescent="0.25">
      <c r="A9" s="12" t="s">
        <v>49</v>
      </c>
      <c r="B9" s="7">
        <v>5270</v>
      </c>
      <c r="C9" s="7">
        <v>0</v>
      </c>
      <c r="D9" s="7">
        <v>5270</v>
      </c>
    </row>
    <row r="10" spans="1:4" x14ac:dyDescent="0.25">
      <c r="A10" s="12" t="s">
        <v>53</v>
      </c>
      <c r="B10" s="7">
        <v>4750</v>
      </c>
      <c r="C10" s="7">
        <v>0</v>
      </c>
      <c r="D10" s="7">
        <v>4750</v>
      </c>
    </row>
    <row r="11" spans="1:4" x14ac:dyDescent="0.25">
      <c r="A11" s="12" t="s">
        <v>40</v>
      </c>
      <c r="B11" s="7">
        <v>7660</v>
      </c>
      <c r="C11" s="7">
        <v>3000</v>
      </c>
      <c r="D11" s="7">
        <v>4660</v>
      </c>
    </row>
    <row r="12" spans="1:4" x14ac:dyDescent="0.25">
      <c r="A12" s="12" t="s">
        <v>46</v>
      </c>
      <c r="B12" s="7">
        <v>28450</v>
      </c>
      <c r="C12" s="7">
        <v>0</v>
      </c>
      <c r="D12" s="7">
        <v>28450</v>
      </c>
    </row>
    <row r="13" spans="1:4" x14ac:dyDescent="0.25">
      <c r="A13" s="12" t="s">
        <v>44</v>
      </c>
      <c r="B13" s="7">
        <v>8350</v>
      </c>
      <c r="C13" s="7">
        <v>6800</v>
      </c>
      <c r="D13" s="7">
        <v>1550</v>
      </c>
    </row>
    <row r="14" spans="1:4" x14ac:dyDescent="0.25">
      <c r="A14" s="12" t="s">
        <v>38</v>
      </c>
      <c r="B14" s="7">
        <v>29750</v>
      </c>
      <c r="C14" s="7">
        <v>25000</v>
      </c>
      <c r="D14" s="7">
        <v>4750</v>
      </c>
    </row>
    <row r="15" spans="1:4" x14ac:dyDescent="0.25">
      <c r="A15" s="12" t="s">
        <v>43</v>
      </c>
      <c r="B15" s="7">
        <v>2400</v>
      </c>
      <c r="C15" s="7">
        <v>2000</v>
      </c>
      <c r="D15" s="7">
        <v>400</v>
      </c>
    </row>
    <row r="16" spans="1:4" x14ac:dyDescent="0.25">
      <c r="A16" s="12" t="s">
        <v>66</v>
      </c>
      <c r="B16" s="7">
        <v>45070</v>
      </c>
      <c r="C16" s="7">
        <v>0</v>
      </c>
      <c r="D16" s="7">
        <v>45070</v>
      </c>
    </row>
    <row r="17" spans="1:4" x14ac:dyDescent="0.25">
      <c r="A17" s="12" t="s">
        <v>55</v>
      </c>
      <c r="B17" s="7">
        <v>232695</v>
      </c>
      <c r="C17" s="7">
        <v>53340</v>
      </c>
      <c r="D17" s="7">
        <v>179355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4FF0-5052-4B6C-B5CC-DFA1FF14971F}">
  <dimension ref="A1:C12"/>
  <sheetViews>
    <sheetView rightToLeft="1" tabSelected="1" workbookViewId="0">
      <selection activeCell="F5" sqref="F5"/>
    </sheetView>
  </sheetViews>
  <sheetFormatPr defaultRowHeight="15" x14ac:dyDescent="0.25"/>
  <cols>
    <col min="1" max="1" width="11.42578125" style="5" customWidth="1"/>
    <col min="2" max="2" width="19.42578125" style="1" customWidth="1"/>
    <col min="3" max="16384" width="9.140625" style="1"/>
  </cols>
  <sheetData>
    <row r="1" spans="1:3" x14ac:dyDescent="0.25">
      <c r="A1" s="5" t="s">
        <v>84</v>
      </c>
      <c r="B1" s="1" t="s">
        <v>82</v>
      </c>
      <c r="C1" s="1" t="s">
        <v>87</v>
      </c>
    </row>
    <row r="2" spans="1:3" x14ac:dyDescent="0.25">
      <c r="A2" s="5">
        <v>45727</v>
      </c>
      <c r="B2" s="1" t="s">
        <v>38</v>
      </c>
      <c r="C2" s="1">
        <v>14000</v>
      </c>
    </row>
    <row r="3" spans="1:3" x14ac:dyDescent="0.25">
      <c r="A3" s="5">
        <v>45728</v>
      </c>
      <c r="B3" s="1" t="s">
        <v>39</v>
      </c>
      <c r="C3" s="1">
        <v>2900</v>
      </c>
    </row>
    <row r="4" spans="1:3" x14ac:dyDescent="0.25">
      <c r="A4" s="5">
        <v>45729</v>
      </c>
      <c r="B4" s="1" t="s">
        <v>40</v>
      </c>
      <c r="C4" s="1">
        <v>2000</v>
      </c>
    </row>
    <row r="5" spans="1:3" x14ac:dyDescent="0.25">
      <c r="A5" s="5">
        <v>45761</v>
      </c>
      <c r="B5" s="1" t="s">
        <v>40</v>
      </c>
      <c r="C5" s="1">
        <v>1000</v>
      </c>
    </row>
    <row r="6" spans="1:3" x14ac:dyDescent="0.25">
      <c r="A6" s="5">
        <v>45762</v>
      </c>
      <c r="B6" s="1" t="s">
        <v>41</v>
      </c>
      <c r="C6" s="1">
        <v>400</v>
      </c>
    </row>
    <row r="7" spans="1:3" x14ac:dyDescent="0.25">
      <c r="A7" s="5">
        <v>45763</v>
      </c>
      <c r="B7" s="1" t="s">
        <v>42</v>
      </c>
      <c r="C7" s="1">
        <v>13240</v>
      </c>
    </row>
    <row r="8" spans="1:3" x14ac:dyDescent="0.25">
      <c r="A8" s="5">
        <v>45794</v>
      </c>
      <c r="B8" s="1" t="s">
        <v>43</v>
      </c>
      <c r="C8" s="1">
        <v>2000</v>
      </c>
    </row>
    <row r="9" spans="1:3" x14ac:dyDescent="0.25">
      <c r="A9" s="5">
        <v>45795</v>
      </c>
      <c r="B9" s="1" t="s">
        <v>38</v>
      </c>
      <c r="C9" s="1">
        <v>3000</v>
      </c>
    </row>
    <row r="10" spans="1:3" x14ac:dyDescent="0.25">
      <c r="A10" s="5">
        <v>45880</v>
      </c>
      <c r="B10" s="1" t="s">
        <v>38</v>
      </c>
      <c r="C10" s="1">
        <v>8000</v>
      </c>
    </row>
    <row r="11" spans="1:3" x14ac:dyDescent="0.25">
      <c r="A11" s="5">
        <v>45911</v>
      </c>
      <c r="B11" s="1" t="s">
        <v>48</v>
      </c>
      <c r="C11" s="1">
        <v>6800</v>
      </c>
    </row>
    <row r="12" spans="1:3" x14ac:dyDescent="0.25">
      <c r="C12" s="1">
        <f>SUM(Table2[amount])</f>
        <v>53340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CDAE7D-845A-4229-ABB1-3DC5D041DD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invoice</vt:lpstr>
      <vt:lpstr>sales</vt:lpstr>
      <vt:lpstr>accont_report</vt:lpstr>
      <vt:lpstr>cach_resive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2015-06-05T18:17:20Z</dcterms:created>
  <dcterms:modified xsi:type="dcterms:W3CDTF">2025-12-14T20:20:24Z</dcterms:modified>
</cp:coreProperties>
</file>